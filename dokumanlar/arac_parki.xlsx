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986B3210-5B8F-4245-B50E-1139DEDA2F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  <sheet name="Sayfa2" sheetId="2" r:id="rId2"/>
  </sheets>
  <definedNames>
    <definedName name="_xlnm._FilterDatabase" localSheetId="1" hidden="1">Sayfa2!$B$2:$AU$113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D109" i="1"/>
  <c r="E109" i="1"/>
  <c r="F109" i="1"/>
  <c r="H109" i="1"/>
  <c r="G109" i="1" s="1"/>
  <c r="I109" i="1"/>
  <c r="J109" i="1"/>
  <c r="K109" i="1"/>
  <c r="L109" i="1"/>
  <c r="C110" i="1"/>
  <c r="D110" i="1"/>
  <c r="E110" i="1"/>
  <c r="F110" i="1"/>
  <c r="G110" i="1"/>
  <c r="H110" i="1"/>
  <c r="I110" i="1"/>
  <c r="J110" i="1"/>
  <c r="K110" i="1"/>
  <c r="L110" i="1"/>
  <c r="C111" i="1"/>
  <c r="D111" i="1"/>
  <c r="E111" i="1"/>
  <c r="F111" i="1"/>
  <c r="G111" i="1"/>
  <c r="H111" i="1"/>
  <c r="I111" i="1"/>
  <c r="J111" i="1"/>
  <c r="K111" i="1"/>
  <c r="L111" i="1"/>
  <c r="C112" i="1"/>
  <c r="D112" i="1"/>
  <c r="E112" i="1"/>
  <c r="F112" i="1"/>
  <c r="H112" i="1"/>
  <c r="G112" i="1" s="1"/>
  <c r="I112" i="1"/>
  <c r="J112" i="1"/>
  <c r="K112" i="1"/>
  <c r="L112" i="1"/>
  <c r="C113" i="1"/>
  <c r="D113" i="1"/>
  <c r="E113" i="1"/>
  <c r="F113" i="1"/>
  <c r="H113" i="1"/>
  <c r="G113" i="1" s="1"/>
  <c r="I113" i="1"/>
  <c r="J113" i="1"/>
  <c r="K113" i="1"/>
  <c r="L113" i="1"/>
  <c r="C114" i="1"/>
  <c r="D114" i="1"/>
  <c r="E114" i="1"/>
  <c r="F114" i="1"/>
  <c r="H114" i="1"/>
  <c r="G114" i="1" s="1"/>
  <c r="I114" i="1"/>
  <c r="J114" i="1"/>
  <c r="K114" i="1"/>
  <c r="L114" i="1"/>
  <c r="C115" i="1"/>
  <c r="D115" i="1"/>
  <c r="E115" i="1"/>
  <c r="F115" i="1"/>
  <c r="H115" i="1"/>
  <c r="G115" i="1" s="1"/>
  <c r="I115" i="1"/>
  <c r="J115" i="1"/>
  <c r="K115" i="1"/>
  <c r="L115" i="1"/>
  <c r="A109" i="1"/>
  <c r="A110" i="1"/>
  <c r="A111" i="1"/>
  <c r="A112" i="1"/>
  <c r="A113" i="1"/>
  <c r="A114" i="1"/>
  <c r="A11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3" i="2"/>
  <c r="B2" i="1" s="1"/>
  <c r="A65" i="1" l="1"/>
  <c r="F65" i="1"/>
  <c r="H65" i="1"/>
  <c r="G65" i="1" s="1"/>
  <c r="I65" i="1"/>
  <c r="J65" i="1"/>
  <c r="D65" i="1"/>
  <c r="K65" i="1"/>
  <c r="L65" i="1"/>
  <c r="C49" i="1"/>
  <c r="H49" i="1"/>
  <c r="G49" i="1" s="1"/>
  <c r="I49" i="1"/>
  <c r="D49" i="1"/>
  <c r="J49" i="1"/>
  <c r="K49" i="1"/>
  <c r="L49" i="1"/>
  <c r="E49" i="1"/>
  <c r="A33" i="1"/>
  <c r="D33" i="1"/>
  <c r="H33" i="1"/>
  <c r="G33" i="1" s="1"/>
  <c r="I33" i="1"/>
  <c r="J33" i="1"/>
  <c r="E33" i="1"/>
  <c r="F33" i="1"/>
  <c r="K33" i="1"/>
  <c r="L33" i="1"/>
  <c r="A17" i="1"/>
  <c r="D17" i="1"/>
  <c r="H17" i="1"/>
  <c r="G17" i="1" s="1"/>
  <c r="I17" i="1"/>
  <c r="J17" i="1"/>
  <c r="E17" i="1"/>
  <c r="F17" i="1"/>
  <c r="K17" i="1"/>
  <c r="L17" i="1"/>
  <c r="C81" i="1"/>
  <c r="D81" i="1"/>
  <c r="E81" i="1"/>
  <c r="H81" i="1"/>
  <c r="G81" i="1" s="1"/>
  <c r="I81" i="1"/>
  <c r="J81" i="1"/>
  <c r="A81" i="1"/>
  <c r="K81" i="1"/>
  <c r="L81" i="1"/>
  <c r="A96" i="1"/>
  <c r="H96" i="1"/>
  <c r="G96" i="1" s="1"/>
  <c r="I96" i="1"/>
  <c r="J96" i="1"/>
  <c r="K96" i="1"/>
  <c r="L96" i="1"/>
  <c r="C80" i="1"/>
  <c r="H80" i="1"/>
  <c r="G80" i="1" s="1"/>
  <c r="I80" i="1"/>
  <c r="J80" i="1"/>
  <c r="K80" i="1"/>
  <c r="L80" i="1"/>
  <c r="A64" i="1"/>
  <c r="H64" i="1"/>
  <c r="G64" i="1" s="1"/>
  <c r="I64" i="1"/>
  <c r="J64" i="1"/>
  <c r="K64" i="1"/>
  <c r="L64" i="1"/>
  <c r="C48" i="1"/>
  <c r="H48" i="1"/>
  <c r="G48" i="1" s="1"/>
  <c r="I48" i="1"/>
  <c r="J48" i="1"/>
  <c r="K48" i="1"/>
  <c r="L48" i="1"/>
  <c r="A32" i="1"/>
  <c r="H32" i="1"/>
  <c r="G32" i="1" s="1"/>
  <c r="I32" i="1"/>
  <c r="J32" i="1"/>
  <c r="K32" i="1"/>
  <c r="L32" i="1"/>
  <c r="C16" i="1"/>
  <c r="H16" i="1"/>
  <c r="G16" i="1" s="1"/>
  <c r="I16" i="1"/>
  <c r="J16" i="1"/>
  <c r="K16" i="1"/>
  <c r="L16" i="1"/>
  <c r="A86" i="1"/>
  <c r="K86" i="1"/>
  <c r="L86" i="1"/>
  <c r="H86" i="1"/>
  <c r="G86" i="1" s="1"/>
  <c r="I86" i="1"/>
  <c r="J86" i="1"/>
  <c r="A95" i="1"/>
  <c r="H95" i="1"/>
  <c r="G95" i="1" s="1"/>
  <c r="I95" i="1"/>
  <c r="J95" i="1"/>
  <c r="K95" i="1"/>
  <c r="L95" i="1"/>
  <c r="A79" i="1"/>
  <c r="H79" i="1"/>
  <c r="G79" i="1" s="1"/>
  <c r="I79" i="1"/>
  <c r="J79" i="1"/>
  <c r="K79" i="1"/>
  <c r="L79" i="1"/>
  <c r="C63" i="1"/>
  <c r="H63" i="1"/>
  <c r="G63" i="1" s="1"/>
  <c r="I63" i="1"/>
  <c r="J63" i="1"/>
  <c r="K63" i="1"/>
  <c r="L63" i="1"/>
  <c r="C47" i="1"/>
  <c r="H47" i="1"/>
  <c r="G47" i="1" s="1"/>
  <c r="I47" i="1"/>
  <c r="J47" i="1"/>
  <c r="K47" i="1"/>
  <c r="L47" i="1"/>
  <c r="C31" i="1"/>
  <c r="H31" i="1"/>
  <c r="G31" i="1" s="1"/>
  <c r="I31" i="1"/>
  <c r="J31" i="1"/>
  <c r="K31" i="1"/>
  <c r="L31" i="1"/>
  <c r="C15" i="1"/>
  <c r="H15" i="1"/>
  <c r="G15" i="1" s="1"/>
  <c r="I15" i="1"/>
  <c r="J15" i="1"/>
  <c r="K15" i="1"/>
  <c r="L15" i="1"/>
  <c r="C94" i="1"/>
  <c r="H94" i="1"/>
  <c r="G94" i="1" s="1"/>
  <c r="I94" i="1"/>
  <c r="J94" i="1"/>
  <c r="K94" i="1"/>
  <c r="L94" i="1"/>
  <c r="C78" i="1"/>
  <c r="H78" i="1"/>
  <c r="G78" i="1" s="1"/>
  <c r="I78" i="1"/>
  <c r="J78" i="1"/>
  <c r="K78" i="1"/>
  <c r="L78" i="1"/>
  <c r="D78" i="1"/>
  <c r="A62" i="1"/>
  <c r="H62" i="1"/>
  <c r="G62" i="1" s="1"/>
  <c r="I62" i="1"/>
  <c r="J62" i="1"/>
  <c r="K62" i="1"/>
  <c r="L62" i="1"/>
  <c r="A46" i="1"/>
  <c r="H46" i="1"/>
  <c r="G46" i="1" s="1"/>
  <c r="I46" i="1"/>
  <c r="J46" i="1"/>
  <c r="D46" i="1"/>
  <c r="K46" i="1"/>
  <c r="L46" i="1"/>
  <c r="A30" i="1"/>
  <c r="H30" i="1"/>
  <c r="G30" i="1" s="1"/>
  <c r="I30" i="1"/>
  <c r="J30" i="1"/>
  <c r="K30" i="1"/>
  <c r="L30" i="1"/>
  <c r="C14" i="1"/>
  <c r="H14" i="1"/>
  <c r="G14" i="1" s="1"/>
  <c r="I14" i="1"/>
  <c r="J14" i="1"/>
  <c r="K14" i="1"/>
  <c r="L14" i="1"/>
  <c r="D14" i="1"/>
  <c r="A77" i="1"/>
  <c r="H77" i="1"/>
  <c r="G77" i="1" s="1"/>
  <c r="E77" i="1"/>
  <c r="I77" i="1"/>
  <c r="J77" i="1"/>
  <c r="K77" i="1"/>
  <c r="L77" i="1"/>
  <c r="D77" i="1"/>
  <c r="C61" i="1"/>
  <c r="H61" i="1"/>
  <c r="G61" i="1" s="1"/>
  <c r="I61" i="1"/>
  <c r="J61" i="1"/>
  <c r="K61" i="1"/>
  <c r="L61" i="1"/>
  <c r="A45" i="1"/>
  <c r="H45" i="1"/>
  <c r="G45" i="1" s="1"/>
  <c r="I45" i="1"/>
  <c r="J45" i="1"/>
  <c r="D45" i="1"/>
  <c r="K45" i="1"/>
  <c r="L45" i="1"/>
  <c r="E45" i="1"/>
  <c r="A29" i="1"/>
  <c r="H29" i="1"/>
  <c r="G29" i="1" s="1"/>
  <c r="I29" i="1"/>
  <c r="J29" i="1"/>
  <c r="K29" i="1"/>
  <c r="L29" i="1"/>
  <c r="C13" i="1"/>
  <c r="H13" i="1"/>
  <c r="G13" i="1" s="1"/>
  <c r="I13" i="1"/>
  <c r="J13" i="1"/>
  <c r="K13" i="1"/>
  <c r="L13" i="1"/>
  <c r="D13" i="1"/>
  <c r="A76" i="1"/>
  <c r="H76" i="1"/>
  <c r="G76" i="1" s="1"/>
  <c r="I76" i="1"/>
  <c r="J76" i="1"/>
  <c r="K76" i="1"/>
  <c r="L76" i="1"/>
  <c r="C60" i="1"/>
  <c r="H60" i="1"/>
  <c r="G60" i="1" s="1"/>
  <c r="I60" i="1"/>
  <c r="J60" i="1"/>
  <c r="K60" i="1"/>
  <c r="L60" i="1"/>
  <c r="A44" i="1"/>
  <c r="F44" i="1"/>
  <c r="H44" i="1"/>
  <c r="G44" i="1" s="1"/>
  <c r="I44" i="1"/>
  <c r="J44" i="1"/>
  <c r="K44" i="1"/>
  <c r="L44" i="1"/>
  <c r="C28" i="1"/>
  <c r="H28" i="1"/>
  <c r="G28" i="1" s="1"/>
  <c r="I28" i="1"/>
  <c r="J28" i="1"/>
  <c r="K28" i="1"/>
  <c r="L28" i="1"/>
  <c r="C12" i="1"/>
  <c r="H12" i="1"/>
  <c r="G12" i="1" s="1"/>
  <c r="I12" i="1"/>
  <c r="J12" i="1"/>
  <c r="K12" i="1"/>
  <c r="L12" i="1"/>
  <c r="A87" i="1"/>
  <c r="K87" i="1"/>
  <c r="L87" i="1"/>
  <c r="H87" i="1"/>
  <c r="G87" i="1" s="1"/>
  <c r="I87" i="1"/>
  <c r="J87" i="1"/>
  <c r="C93" i="1"/>
  <c r="H93" i="1"/>
  <c r="G93" i="1" s="1"/>
  <c r="I93" i="1"/>
  <c r="J93" i="1"/>
  <c r="K93" i="1"/>
  <c r="L93" i="1"/>
  <c r="C92" i="1"/>
  <c r="H92" i="1"/>
  <c r="G92" i="1" s="1"/>
  <c r="I92" i="1"/>
  <c r="J92" i="1"/>
  <c r="K92" i="1"/>
  <c r="E92" i="1"/>
  <c r="L92" i="1"/>
  <c r="C107" i="1"/>
  <c r="H107" i="1"/>
  <c r="G107" i="1" s="1"/>
  <c r="I107" i="1"/>
  <c r="J107" i="1"/>
  <c r="D107" i="1"/>
  <c r="K107" i="1"/>
  <c r="L107" i="1"/>
  <c r="A91" i="1"/>
  <c r="H91" i="1"/>
  <c r="G91" i="1" s="1"/>
  <c r="I91" i="1"/>
  <c r="J91" i="1"/>
  <c r="K91" i="1"/>
  <c r="E91" i="1"/>
  <c r="L91" i="1"/>
  <c r="A75" i="1"/>
  <c r="H75" i="1"/>
  <c r="G75" i="1" s="1"/>
  <c r="I75" i="1"/>
  <c r="J75" i="1"/>
  <c r="K75" i="1"/>
  <c r="L75" i="1"/>
  <c r="D75" i="1"/>
  <c r="A59" i="1"/>
  <c r="H59" i="1"/>
  <c r="G59" i="1" s="1"/>
  <c r="I59" i="1"/>
  <c r="J59" i="1"/>
  <c r="K59" i="1"/>
  <c r="L59" i="1"/>
  <c r="A43" i="1"/>
  <c r="H43" i="1"/>
  <c r="G43" i="1" s="1"/>
  <c r="I43" i="1"/>
  <c r="J43" i="1"/>
  <c r="D43" i="1"/>
  <c r="K43" i="1"/>
  <c r="L43" i="1"/>
  <c r="F43" i="1"/>
  <c r="C27" i="1"/>
  <c r="H27" i="1"/>
  <c r="G27" i="1" s="1"/>
  <c r="I27" i="1"/>
  <c r="J27" i="1"/>
  <c r="K27" i="1"/>
  <c r="L27" i="1"/>
  <c r="C11" i="1"/>
  <c r="H11" i="1"/>
  <c r="G11" i="1" s="1"/>
  <c r="I11" i="1"/>
  <c r="J11" i="1"/>
  <c r="K11" i="1"/>
  <c r="E11" i="1"/>
  <c r="L11" i="1"/>
  <c r="D11" i="1"/>
  <c r="A97" i="1"/>
  <c r="D97" i="1"/>
  <c r="H97" i="1"/>
  <c r="G97" i="1" s="1"/>
  <c r="I97" i="1"/>
  <c r="J97" i="1"/>
  <c r="K97" i="1"/>
  <c r="L97" i="1"/>
  <c r="C108" i="1"/>
  <c r="H108" i="1"/>
  <c r="G108" i="1" s="1"/>
  <c r="I108" i="1"/>
  <c r="J108" i="1"/>
  <c r="K108" i="1"/>
  <c r="L108" i="1"/>
  <c r="D106" i="1"/>
  <c r="H106" i="1"/>
  <c r="G106" i="1" s="1"/>
  <c r="I106" i="1"/>
  <c r="J106" i="1"/>
  <c r="K106" i="1"/>
  <c r="L106" i="1"/>
  <c r="A106" i="1"/>
  <c r="A90" i="1"/>
  <c r="H90" i="1"/>
  <c r="G90" i="1" s="1"/>
  <c r="I90" i="1"/>
  <c r="J90" i="1"/>
  <c r="F90" i="1"/>
  <c r="K90" i="1"/>
  <c r="E90" i="1"/>
  <c r="L90" i="1"/>
  <c r="A74" i="1"/>
  <c r="H74" i="1"/>
  <c r="G74" i="1" s="1"/>
  <c r="I74" i="1"/>
  <c r="J74" i="1"/>
  <c r="K74" i="1"/>
  <c r="L74" i="1"/>
  <c r="A58" i="1"/>
  <c r="H58" i="1"/>
  <c r="G58" i="1" s="1"/>
  <c r="I58" i="1"/>
  <c r="J58" i="1"/>
  <c r="E58" i="1"/>
  <c r="K58" i="1"/>
  <c r="L58" i="1"/>
  <c r="C42" i="1"/>
  <c r="H42" i="1"/>
  <c r="G42" i="1" s="1"/>
  <c r="I42" i="1"/>
  <c r="J42" i="1"/>
  <c r="K42" i="1"/>
  <c r="L42" i="1"/>
  <c r="A42" i="1"/>
  <c r="C26" i="1"/>
  <c r="H26" i="1"/>
  <c r="G26" i="1" s="1"/>
  <c r="I26" i="1"/>
  <c r="J26" i="1"/>
  <c r="K26" i="1"/>
  <c r="L26" i="1"/>
  <c r="C10" i="1"/>
  <c r="H10" i="1"/>
  <c r="G10" i="1" s="1"/>
  <c r="I10" i="1"/>
  <c r="J10" i="1"/>
  <c r="K10" i="1"/>
  <c r="E10" i="1"/>
  <c r="L10" i="1"/>
  <c r="C73" i="1"/>
  <c r="I73" i="1"/>
  <c r="J73" i="1"/>
  <c r="K73" i="1"/>
  <c r="L73" i="1"/>
  <c r="H73" i="1"/>
  <c r="G73" i="1" s="1"/>
  <c r="A57" i="1"/>
  <c r="I57" i="1"/>
  <c r="J57" i="1"/>
  <c r="K57" i="1"/>
  <c r="L57" i="1"/>
  <c r="H57" i="1"/>
  <c r="G57" i="1" s="1"/>
  <c r="C41" i="1"/>
  <c r="I41" i="1"/>
  <c r="J41" i="1"/>
  <c r="K41" i="1"/>
  <c r="L41" i="1"/>
  <c r="A41" i="1"/>
  <c r="H41" i="1"/>
  <c r="G41" i="1" s="1"/>
  <c r="A25" i="1"/>
  <c r="I25" i="1"/>
  <c r="J25" i="1"/>
  <c r="K25" i="1"/>
  <c r="L25" i="1"/>
  <c r="H25" i="1"/>
  <c r="G25" i="1" s="1"/>
  <c r="C9" i="1"/>
  <c r="I9" i="1"/>
  <c r="J9" i="1"/>
  <c r="K9" i="1"/>
  <c r="L9" i="1"/>
  <c r="H9" i="1"/>
  <c r="G9" i="1" s="1"/>
  <c r="D105" i="1"/>
  <c r="I105" i="1"/>
  <c r="J105" i="1"/>
  <c r="K105" i="1"/>
  <c r="L105" i="1"/>
  <c r="A105" i="1"/>
  <c r="H105" i="1"/>
  <c r="G105" i="1" s="1"/>
  <c r="C89" i="1"/>
  <c r="I89" i="1"/>
  <c r="J89" i="1"/>
  <c r="F89" i="1"/>
  <c r="K89" i="1"/>
  <c r="L89" i="1"/>
  <c r="H89" i="1"/>
  <c r="G89" i="1" s="1"/>
  <c r="A104" i="1"/>
  <c r="J104" i="1"/>
  <c r="K104" i="1"/>
  <c r="L104" i="1"/>
  <c r="H104" i="1"/>
  <c r="G104" i="1" s="1"/>
  <c r="I104" i="1"/>
  <c r="A88" i="1"/>
  <c r="J88" i="1"/>
  <c r="K88" i="1"/>
  <c r="L88" i="1"/>
  <c r="H88" i="1"/>
  <c r="G88" i="1" s="1"/>
  <c r="I88" i="1"/>
  <c r="A72" i="1"/>
  <c r="J72" i="1"/>
  <c r="K72" i="1"/>
  <c r="L72" i="1"/>
  <c r="H72" i="1"/>
  <c r="G72" i="1" s="1"/>
  <c r="I72" i="1"/>
  <c r="A56" i="1"/>
  <c r="J56" i="1"/>
  <c r="K56" i="1"/>
  <c r="L56" i="1"/>
  <c r="H56" i="1"/>
  <c r="G56" i="1" s="1"/>
  <c r="I56" i="1"/>
  <c r="A40" i="1"/>
  <c r="J40" i="1"/>
  <c r="K40" i="1"/>
  <c r="L40" i="1"/>
  <c r="H40" i="1"/>
  <c r="G40" i="1" s="1"/>
  <c r="I40" i="1"/>
  <c r="A24" i="1"/>
  <c r="J24" i="1"/>
  <c r="K24" i="1"/>
  <c r="L24" i="1"/>
  <c r="H24" i="1"/>
  <c r="G24" i="1" s="1"/>
  <c r="I24" i="1"/>
  <c r="A8" i="1"/>
  <c r="J8" i="1"/>
  <c r="K8" i="1"/>
  <c r="L8" i="1"/>
  <c r="H8" i="1"/>
  <c r="G8" i="1" s="1"/>
  <c r="I8" i="1"/>
  <c r="A71" i="1"/>
  <c r="K71" i="1"/>
  <c r="L71" i="1"/>
  <c r="H71" i="1"/>
  <c r="G71" i="1" s="1"/>
  <c r="I71" i="1"/>
  <c r="J71" i="1"/>
  <c r="A55" i="1"/>
  <c r="K55" i="1"/>
  <c r="L55" i="1"/>
  <c r="H55" i="1"/>
  <c r="G55" i="1" s="1"/>
  <c r="I55" i="1"/>
  <c r="J55" i="1"/>
  <c r="A39" i="1"/>
  <c r="K39" i="1"/>
  <c r="L39" i="1"/>
  <c r="H39" i="1"/>
  <c r="G39" i="1" s="1"/>
  <c r="I39" i="1"/>
  <c r="J39" i="1"/>
  <c r="A23" i="1"/>
  <c r="K23" i="1"/>
  <c r="L23" i="1"/>
  <c r="H23" i="1"/>
  <c r="G23" i="1" s="1"/>
  <c r="I23" i="1"/>
  <c r="J23" i="1"/>
  <c r="A7" i="1"/>
  <c r="K7" i="1"/>
  <c r="L7" i="1"/>
  <c r="H7" i="1"/>
  <c r="G7" i="1" s="1"/>
  <c r="I7" i="1"/>
  <c r="J7" i="1"/>
  <c r="A70" i="1"/>
  <c r="K70" i="1"/>
  <c r="L70" i="1"/>
  <c r="H70" i="1"/>
  <c r="G70" i="1" s="1"/>
  <c r="I70" i="1"/>
  <c r="J70" i="1"/>
  <c r="A54" i="1"/>
  <c r="K54" i="1"/>
  <c r="L54" i="1"/>
  <c r="H54" i="1"/>
  <c r="G54" i="1" s="1"/>
  <c r="I54" i="1"/>
  <c r="J54" i="1"/>
  <c r="A38" i="1"/>
  <c r="K38" i="1"/>
  <c r="L38" i="1"/>
  <c r="H38" i="1"/>
  <c r="G38" i="1" s="1"/>
  <c r="I38" i="1"/>
  <c r="J38" i="1"/>
  <c r="A22" i="1"/>
  <c r="K22" i="1"/>
  <c r="L22" i="1"/>
  <c r="H22" i="1"/>
  <c r="G22" i="1" s="1"/>
  <c r="I22" i="1"/>
  <c r="J22" i="1"/>
  <c r="A6" i="1"/>
  <c r="K6" i="1"/>
  <c r="L6" i="1"/>
  <c r="H6" i="1"/>
  <c r="G6" i="1" s="1"/>
  <c r="I6" i="1"/>
  <c r="J6" i="1"/>
  <c r="A69" i="1"/>
  <c r="K69" i="1"/>
  <c r="L69" i="1"/>
  <c r="H69" i="1"/>
  <c r="G69" i="1" s="1"/>
  <c r="I69" i="1"/>
  <c r="J69" i="1"/>
  <c r="A53" i="1"/>
  <c r="K53" i="1"/>
  <c r="L53" i="1"/>
  <c r="H53" i="1"/>
  <c r="G53" i="1" s="1"/>
  <c r="I53" i="1"/>
  <c r="J53" i="1"/>
  <c r="A37" i="1"/>
  <c r="K37" i="1"/>
  <c r="L37" i="1"/>
  <c r="H37" i="1"/>
  <c r="G37" i="1" s="1"/>
  <c r="I37" i="1"/>
  <c r="J37" i="1"/>
  <c r="A21" i="1"/>
  <c r="K21" i="1"/>
  <c r="L21" i="1"/>
  <c r="H21" i="1"/>
  <c r="G21" i="1" s="1"/>
  <c r="I21" i="1"/>
  <c r="J21" i="1"/>
  <c r="A5" i="1"/>
  <c r="K5" i="1"/>
  <c r="L5" i="1"/>
  <c r="H5" i="1"/>
  <c r="G5" i="1" s="1"/>
  <c r="I5" i="1"/>
  <c r="J5" i="1"/>
  <c r="A102" i="1"/>
  <c r="K102" i="1"/>
  <c r="L102" i="1"/>
  <c r="H102" i="1"/>
  <c r="G102" i="1" s="1"/>
  <c r="I102" i="1"/>
  <c r="J102" i="1"/>
  <c r="A68" i="1"/>
  <c r="K68" i="1"/>
  <c r="L68" i="1"/>
  <c r="H68" i="1"/>
  <c r="G68" i="1" s="1"/>
  <c r="I68" i="1"/>
  <c r="J68" i="1"/>
  <c r="D68" i="1"/>
  <c r="A52" i="1"/>
  <c r="K52" i="1"/>
  <c r="L52" i="1"/>
  <c r="H52" i="1"/>
  <c r="G52" i="1" s="1"/>
  <c r="I52" i="1"/>
  <c r="J52" i="1"/>
  <c r="A36" i="1"/>
  <c r="K36" i="1"/>
  <c r="L36" i="1"/>
  <c r="D36" i="1"/>
  <c r="H36" i="1"/>
  <c r="G36" i="1" s="1"/>
  <c r="I36" i="1"/>
  <c r="J36" i="1"/>
  <c r="A20" i="1"/>
  <c r="K20" i="1"/>
  <c r="L20" i="1"/>
  <c r="H20" i="1"/>
  <c r="G20" i="1" s="1"/>
  <c r="I20" i="1"/>
  <c r="J20" i="1"/>
  <c r="A4" i="1"/>
  <c r="K4" i="1"/>
  <c r="L4" i="1"/>
  <c r="H4" i="1"/>
  <c r="G4" i="1" s="1"/>
  <c r="I4" i="1"/>
  <c r="J4" i="1"/>
  <c r="D4" i="1"/>
  <c r="A85" i="1"/>
  <c r="K85" i="1"/>
  <c r="L85" i="1"/>
  <c r="H85" i="1"/>
  <c r="G85" i="1" s="1"/>
  <c r="I85" i="1"/>
  <c r="J85" i="1"/>
  <c r="A84" i="1"/>
  <c r="K84" i="1"/>
  <c r="L84" i="1"/>
  <c r="H84" i="1"/>
  <c r="G84" i="1" s="1"/>
  <c r="I84" i="1"/>
  <c r="J84" i="1"/>
  <c r="C83" i="1"/>
  <c r="K83" i="1"/>
  <c r="L83" i="1"/>
  <c r="E83" i="1"/>
  <c r="H83" i="1"/>
  <c r="G83" i="1" s="1"/>
  <c r="I83" i="1"/>
  <c r="J83" i="1"/>
  <c r="C67" i="1"/>
  <c r="K67" i="1"/>
  <c r="L67" i="1"/>
  <c r="H67" i="1"/>
  <c r="G67" i="1" s="1"/>
  <c r="I67" i="1"/>
  <c r="J67" i="1"/>
  <c r="D67" i="1"/>
  <c r="C51" i="1"/>
  <c r="K51" i="1"/>
  <c r="L51" i="1"/>
  <c r="E51" i="1"/>
  <c r="H51" i="1"/>
  <c r="G51" i="1" s="1"/>
  <c r="I51" i="1"/>
  <c r="J51" i="1"/>
  <c r="C35" i="1"/>
  <c r="K35" i="1"/>
  <c r="L35" i="1"/>
  <c r="D35" i="1"/>
  <c r="H35" i="1"/>
  <c r="G35" i="1" s="1"/>
  <c r="I35" i="1"/>
  <c r="J35" i="1"/>
  <c r="E35" i="1"/>
  <c r="C19" i="1"/>
  <c r="K19" i="1"/>
  <c r="L19" i="1"/>
  <c r="H19" i="1"/>
  <c r="G19" i="1" s="1"/>
  <c r="I19" i="1"/>
  <c r="J19" i="1"/>
  <c r="C3" i="1"/>
  <c r="K3" i="1"/>
  <c r="L3" i="1"/>
  <c r="E3" i="1"/>
  <c r="H3" i="1"/>
  <c r="G3" i="1" s="1"/>
  <c r="I3" i="1"/>
  <c r="J3" i="1"/>
  <c r="D3" i="1"/>
  <c r="A103" i="1"/>
  <c r="K103" i="1"/>
  <c r="L103" i="1"/>
  <c r="H103" i="1"/>
  <c r="G103" i="1" s="1"/>
  <c r="I103" i="1"/>
  <c r="J103" i="1"/>
  <c r="A101" i="1"/>
  <c r="K101" i="1"/>
  <c r="L101" i="1"/>
  <c r="H101" i="1"/>
  <c r="G101" i="1" s="1"/>
  <c r="I101" i="1"/>
  <c r="J101" i="1"/>
  <c r="A100" i="1"/>
  <c r="K100" i="1"/>
  <c r="L100" i="1"/>
  <c r="D100" i="1"/>
  <c r="H100" i="1"/>
  <c r="G100" i="1" s="1"/>
  <c r="I100" i="1"/>
  <c r="J100" i="1"/>
  <c r="C99" i="1"/>
  <c r="K99" i="1"/>
  <c r="L99" i="1"/>
  <c r="D99" i="1"/>
  <c r="H99" i="1"/>
  <c r="G99" i="1" s="1"/>
  <c r="I99" i="1"/>
  <c r="J99" i="1"/>
  <c r="A98" i="1"/>
  <c r="L98" i="1"/>
  <c r="D98" i="1"/>
  <c r="H98" i="1"/>
  <c r="G98" i="1" s="1"/>
  <c r="I98" i="1"/>
  <c r="J98" i="1"/>
  <c r="K98" i="1"/>
  <c r="C82" i="1"/>
  <c r="L82" i="1"/>
  <c r="E82" i="1"/>
  <c r="H82" i="1"/>
  <c r="G82" i="1" s="1"/>
  <c r="I82" i="1"/>
  <c r="J82" i="1"/>
  <c r="A82" i="1"/>
  <c r="K82" i="1"/>
  <c r="A66" i="1"/>
  <c r="L66" i="1"/>
  <c r="F66" i="1"/>
  <c r="H66" i="1"/>
  <c r="G66" i="1" s="1"/>
  <c r="I66" i="1"/>
  <c r="J66" i="1"/>
  <c r="D66" i="1"/>
  <c r="K66" i="1"/>
  <c r="C50" i="1"/>
  <c r="L50" i="1"/>
  <c r="E50" i="1"/>
  <c r="H50" i="1"/>
  <c r="G50" i="1" s="1"/>
  <c r="I50" i="1"/>
  <c r="J50" i="1"/>
  <c r="K50" i="1"/>
  <c r="C34" i="1"/>
  <c r="L34" i="1"/>
  <c r="D34" i="1"/>
  <c r="H34" i="1"/>
  <c r="G34" i="1" s="1"/>
  <c r="I34" i="1"/>
  <c r="J34" i="1"/>
  <c r="E34" i="1"/>
  <c r="F34" i="1"/>
  <c r="K34" i="1"/>
  <c r="A18" i="1"/>
  <c r="L18" i="1"/>
  <c r="H18" i="1"/>
  <c r="G18" i="1" s="1"/>
  <c r="I18" i="1"/>
  <c r="J18" i="1"/>
  <c r="E18" i="1"/>
  <c r="F18" i="1"/>
  <c r="K18" i="1"/>
  <c r="A2" i="1"/>
  <c r="K2" i="1"/>
  <c r="F2" i="1"/>
  <c r="D2" i="1"/>
  <c r="H2" i="1"/>
  <c r="G2" i="1" s="1"/>
  <c r="E2" i="1"/>
  <c r="I2" i="1"/>
  <c r="J2" i="1"/>
  <c r="L2" i="1"/>
  <c r="E13" i="1"/>
  <c r="F82" i="1"/>
  <c r="F42" i="1"/>
  <c r="D108" i="1"/>
  <c r="D76" i="1"/>
  <c r="D44" i="1"/>
  <c r="D12" i="1"/>
  <c r="E12" i="1"/>
  <c r="F81" i="1"/>
  <c r="F41" i="1"/>
  <c r="F28" i="1"/>
  <c r="C106" i="1"/>
  <c r="C104" i="1"/>
  <c r="D93" i="1"/>
  <c r="D61" i="1"/>
  <c r="D29" i="1"/>
  <c r="E107" i="1"/>
  <c r="E67" i="1"/>
  <c r="F106" i="1"/>
  <c r="F60" i="1"/>
  <c r="E76" i="1"/>
  <c r="E42" i="1"/>
  <c r="F73" i="1"/>
  <c r="F27" i="1"/>
  <c r="C66" i="1"/>
  <c r="D92" i="1"/>
  <c r="D60" i="1"/>
  <c r="D28" i="1"/>
  <c r="E106" i="1"/>
  <c r="E66" i="1"/>
  <c r="E29" i="1"/>
  <c r="F105" i="1"/>
  <c r="F59" i="1"/>
  <c r="A80" i="1"/>
  <c r="E44" i="1"/>
  <c r="F75" i="1"/>
  <c r="C65" i="1"/>
  <c r="D91" i="1"/>
  <c r="D59" i="1"/>
  <c r="D27" i="1"/>
  <c r="E99" i="1"/>
  <c r="E65" i="1"/>
  <c r="E28" i="1"/>
  <c r="F98" i="1"/>
  <c r="F58" i="1"/>
  <c r="F12" i="1"/>
  <c r="F108" i="1"/>
  <c r="F26" i="1"/>
  <c r="C33" i="1"/>
  <c r="D84" i="1"/>
  <c r="D52" i="1"/>
  <c r="D20" i="1"/>
  <c r="E98" i="1"/>
  <c r="E61" i="1"/>
  <c r="E27" i="1"/>
  <c r="F97" i="1"/>
  <c r="F57" i="1"/>
  <c r="F11" i="1"/>
  <c r="F76" i="1"/>
  <c r="C105" i="1"/>
  <c r="D94" i="1"/>
  <c r="D62" i="1"/>
  <c r="D30" i="1"/>
  <c r="E108" i="1"/>
  <c r="E74" i="1"/>
  <c r="F107" i="1"/>
  <c r="F25" i="1"/>
  <c r="A108" i="1"/>
  <c r="C32" i="1"/>
  <c r="D83" i="1"/>
  <c r="D51" i="1"/>
  <c r="D19" i="1"/>
  <c r="E97" i="1"/>
  <c r="E60" i="1"/>
  <c r="E26" i="1"/>
  <c r="F92" i="1"/>
  <c r="F50" i="1"/>
  <c r="F10" i="1"/>
  <c r="E43" i="1"/>
  <c r="F74" i="1"/>
  <c r="E75" i="1"/>
  <c r="A107" i="1"/>
  <c r="C18" i="1"/>
  <c r="D82" i="1"/>
  <c r="D50" i="1"/>
  <c r="D18" i="1"/>
  <c r="E93" i="1"/>
  <c r="E59" i="1"/>
  <c r="E19" i="1"/>
  <c r="F91" i="1"/>
  <c r="F49" i="1"/>
  <c r="F9" i="1"/>
  <c r="F96" i="1"/>
  <c r="F80" i="1"/>
  <c r="F64" i="1"/>
  <c r="F48" i="1"/>
  <c r="F32" i="1"/>
  <c r="F16" i="1"/>
  <c r="A51" i="1"/>
  <c r="E96" i="1"/>
  <c r="E80" i="1"/>
  <c r="E64" i="1"/>
  <c r="E48" i="1"/>
  <c r="E32" i="1"/>
  <c r="E16" i="1"/>
  <c r="F95" i="1"/>
  <c r="F79" i="1"/>
  <c r="F63" i="1"/>
  <c r="F47" i="1"/>
  <c r="F31" i="1"/>
  <c r="F15" i="1"/>
  <c r="A50" i="1"/>
  <c r="C98" i="1"/>
  <c r="D96" i="1"/>
  <c r="D80" i="1"/>
  <c r="D64" i="1"/>
  <c r="D48" i="1"/>
  <c r="D32" i="1"/>
  <c r="D16" i="1"/>
  <c r="E95" i="1"/>
  <c r="E79" i="1"/>
  <c r="E63" i="1"/>
  <c r="E47" i="1"/>
  <c r="E31" i="1"/>
  <c r="E15" i="1"/>
  <c r="F94" i="1"/>
  <c r="F78" i="1"/>
  <c r="F62" i="1"/>
  <c r="F46" i="1"/>
  <c r="F30" i="1"/>
  <c r="F14" i="1"/>
  <c r="A49" i="1"/>
  <c r="C97" i="1"/>
  <c r="D95" i="1"/>
  <c r="D79" i="1"/>
  <c r="D63" i="1"/>
  <c r="D47" i="1"/>
  <c r="D31" i="1"/>
  <c r="D15" i="1"/>
  <c r="E94" i="1"/>
  <c r="E78" i="1"/>
  <c r="E62" i="1"/>
  <c r="E46" i="1"/>
  <c r="E30" i="1"/>
  <c r="E14" i="1"/>
  <c r="F93" i="1"/>
  <c r="F77" i="1"/>
  <c r="F61" i="1"/>
  <c r="F45" i="1"/>
  <c r="F29" i="1"/>
  <c r="F13" i="1"/>
  <c r="A99" i="1"/>
  <c r="A34" i="1"/>
  <c r="C59" i="1"/>
  <c r="D90" i="1"/>
  <c r="D74" i="1"/>
  <c r="D58" i="1"/>
  <c r="D42" i="1"/>
  <c r="D26" i="1"/>
  <c r="D10" i="1"/>
  <c r="E105" i="1"/>
  <c r="E89" i="1"/>
  <c r="E73" i="1"/>
  <c r="E57" i="1"/>
  <c r="E41" i="1"/>
  <c r="E25" i="1"/>
  <c r="E9" i="1"/>
  <c r="F104" i="1"/>
  <c r="F88" i="1"/>
  <c r="F72" i="1"/>
  <c r="F56" i="1"/>
  <c r="F40" i="1"/>
  <c r="F24" i="1"/>
  <c r="F8" i="1"/>
  <c r="C58" i="1"/>
  <c r="D89" i="1"/>
  <c r="D73" i="1"/>
  <c r="D57" i="1"/>
  <c r="D41" i="1"/>
  <c r="D25" i="1"/>
  <c r="D9" i="1"/>
  <c r="E104" i="1"/>
  <c r="E88" i="1"/>
  <c r="E72" i="1"/>
  <c r="E56" i="1"/>
  <c r="E40" i="1"/>
  <c r="E24" i="1"/>
  <c r="E8" i="1"/>
  <c r="F103" i="1"/>
  <c r="F87" i="1"/>
  <c r="F71" i="1"/>
  <c r="F55" i="1"/>
  <c r="F39" i="1"/>
  <c r="F23" i="1"/>
  <c r="F7" i="1"/>
  <c r="C57" i="1"/>
  <c r="D104" i="1"/>
  <c r="D88" i="1"/>
  <c r="D72" i="1"/>
  <c r="D56" i="1"/>
  <c r="D40" i="1"/>
  <c r="D24" i="1"/>
  <c r="D8" i="1"/>
  <c r="E103" i="1"/>
  <c r="E87" i="1"/>
  <c r="E71" i="1"/>
  <c r="E55" i="1"/>
  <c r="E39" i="1"/>
  <c r="E23" i="1"/>
  <c r="E7" i="1"/>
  <c r="F102" i="1"/>
  <c r="F86" i="1"/>
  <c r="F70" i="1"/>
  <c r="F54" i="1"/>
  <c r="F38" i="1"/>
  <c r="F22" i="1"/>
  <c r="F6" i="1"/>
  <c r="A48" i="1"/>
  <c r="C96" i="1"/>
  <c r="A16" i="1"/>
  <c r="D103" i="1"/>
  <c r="D87" i="1"/>
  <c r="D71" i="1"/>
  <c r="D55" i="1"/>
  <c r="D39" i="1"/>
  <c r="D23" i="1"/>
  <c r="D7" i="1"/>
  <c r="E102" i="1"/>
  <c r="E86" i="1"/>
  <c r="E70" i="1"/>
  <c r="E54" i="1"/>
  <c r="E38" i="1"/>
  <c r="E22" i="1"/>
  <c r="E6" i="1"/>
  <c r="F101" i="1"/>
  <c r="F85" i="1"/>
  <c r="F69" i="1"/>
  <c r="F53" i="1"/>
  <c r="F37" i="1"/>
  <c r="F21" i="1"/>
  <c r="F5" i="1"/>
  <c r="A89" i="1"/>
  <c r="A3" i="1"/>
  <c r="D102" i="1"/>
  <c r="D86" i="1"/>
  <c r="D70" i="1"/>
  <c r="D54" i="1"/>
  <c r="D38" i="1"/>
  <c r="D22" i="1"/>
  <c r="D6" i="1"/>
  <c r="E101" i="1"/>
  <c r="E85" i="1"/>
  <c r="E69" i="1"/>
  <c r="E53" i="1"/>
  <c r="E37" i="1"/>
  <c r="E21" i="1"/>
  <c r="E5" i="1"/>
  <c r="F100" i="1"/>
  <c r="F84" i="1"/>
  <c r="F68" i="1"/>
  <c r="F52" i="1"/>
  <c r="F36" i="1"/>
  <c r="F20" i="1"/>
  <c r="F4" i="1"/>
  <c r="A35" i="1"/>
  <c r="A83" i="1"/>
  <c r="C2" i="1"/>
  <c r="D101" i="1"/>
  <c r="D85" i="1"/>
  <c r="D69" i="1"/>
  <c r="D53" i="1"/>
  <c r="D37" i="1"/>
  <c r="D21" i="1"/>
  <c r="D5" i="1"/>
  <c r="E100" i="1"/>
  <c r="E84" i="1"/>
  <c r="E68" i="1"/>
  <c r="E52" i="1"/>
  <c r="E36" i="1"/>
  <c r="E20" i="1"/>
  <c r="E4" i="1"/>
  <c r="F99" i="1"/>
  <c r="F83" i="1"/>
  <c r="F67" i="1"/>
  <c r="F51" i="1"/>
  <c r="F35" i="1"/>
  <c r="F19" i="1"/>
  <c r="F3" i="1"/>
  <c r="A63" i="1"/>
  <c r="C77" i="1"/>
  <c r="C56" i="1"/>
  <c r="C30" i="1"/>
  <c r="A61" i="1"/>
  <c r="A13" i="1"/>
  <c r="A12" i="1"/>
  <c r="A78" i="1"/>
  <c r="A31" i="1"/>
  <c r="A10" i="1"/>
  <c r="C95" i="1"/>
  <c r="C74" i="1"/>
  <c r="C72" i="1"/>
  <c r="C46" i="1"/>
  <c r="C25" i="1"/>
  <c r="A27" i="1"/>
  <c r="C44" i="1"/>
  <c r="A15" i="1"/>
  <c r="C76" i="1"/>
  <c r="C45" i="1"/>
  <c r="C91" i="1"/>
  <c r="A94" i="1"/>
  <c r="A73" i="1"/>
  <c r="A47" i="1"/>
  <c r="A26" i="1"/>
  <c r="C90" i="1"/>
  <c r="C64" i="1"/>
  <c r="C43" i="1"/>
  <c r="C17" i="1"/>
  <c r="C79" i="1"/>
  <c r="C29" i="1"/>
  <c r="A28" i="1"/>
  <c r="A93" i="1"/>
  <c r="A67" i="1"/>
  <c r="A60" i="1"/>
  <c r="A11" i="1"/>
  <c r="C75" i="1"/>
  <c r="A9" i="1"/>
  <c r="A92" i="1"/>
  <c r="A19" i="1"/>
  <c r="C88" i="1"/>
  <c r="C62" i="1"/>
  <c r="C40" i="1"/>
  <c r="A14" i="1"/>
  <c r="C24" i="1"/>
  <c r="C8" i="1"/>
  <c r="C103" i="1"/>
  <c r="C87" i="1"/>
  <c r="C71" i="1"/>
  <c r="C55" i="1"/>
  <c r="C39" i="1"/>
  <c r="C23" i="1"/>
  <c r="C7" i="1"/>
  <c r="C102" i="1"/>
  <c r="C86" i="1"/>
  <c r="C70" i="1"/>
  <c r="C54" i="1"/>
  <c r="C38" i="1"/>
  <c r="C22" i="1"/>
  <c r="C6" i="1"/>
  <c r="C101" i="1"/>
  <c r="C85" i="1"/>
  <c r="C69" i="1"/>
  <c r="C53" i="1"/>
  <c r="C37" i="1"/>
  <c r="C21" i="1"/>
  <c r="C5" i="1"/>
  <c r="C100" i="1"/>
  <c r="C84" i="1"/>
  <c r="C68" i="1"/>
  <c r="C52" i="1"/>
  <c r="C36" i="1"/>
  <c r="C20" i="1"/>
  <c r="C4" i="1"/>
</calcChain>
</file>

<file path=xl/sharedStrings.xml><?xml version="1.0" encoding="utf-8"?>
<sst xmlns="http://schemas.openxmlformats.org/spreadsheetml/2006/main" count="3820" uniqueCount="1029">
  <si>
    <t>Plaka</t>
  </si>
  <si>
    <t>Ekipman_Kodu</t>
  </si>
  <si>
    <t>Arac_Sinifi_Kodu</t>
  </si>
  <si>
    <t>Arac_Sinifi_Adi</t>
  </si>
  <si>
    <t>Marka_Model</t>
  </si>
  <si>
    <t>Motor_Seri_No</t>
  </si>
  <si>
    <t>Şirket kodu</t>
  </si>
  <si>
    <t>BO üretim yeri</t>
  </si>
  <si>
    <t>Geçerlilik bşl.</t>
  </si>
  <si>
    <t>Geçerlilik sonu</t>
  </si>
  <si>
    <t>Aktivite türü</t>
  </si>
  <si>
    <t>Planlama ÜY</t>
  </si>
  <si>
    <t>Planlama grubu</t>
  </si>
  <si>
    <t>Masraf yeri</t>
  </si>
  <si>
    <t>Sorumlu işyeri</t>
  </si>
  <si>
    <t>Nesne türü</t>
  </si>
  <si>
    <t>Ekipman</t>
  </si>
  <si>
    <t>Tanım</t>
  </si>
  <si>
    <t>Tip tanımı</t>
  </si>
  <si>
    <t>Taşıt plaka no.</t>
  </si>
  <si>
    <t>Üretici</t>
  </si>
  <si>
    <t>Yapım yılı</t>
  </si>
  <si>
    <t>Ekipman tipi</t>
  </si>
  <si>
    <t>Teknik Nesne Türü</t>
  </si>
  <si>
    <t>Sistem durumu</t>
  </si>
  <si>
    <t>Ruhsat Seri No</t>
  </si>
  <si>
    <t>Taşıt Takip Sistem A</t>
  </si>
  <si>
    <t>Taşıt Takip IMEI</t>
  </si>
  <si>
    <t>Leasing Bitiş Tarihi</t>
  </si>
  <si>
    <t>ABC göstergesi</t>
  </si>
  <si>
    <t>Acenta Bilgisi</t>
  </si>
  <si>
    <t>Acenta Bilgisi24</t>
  </si>
  <si>
    <t>Aylık Kullanım Bedel</t>
  </si>
  <si>
    <t>Başlangıç Tarihi</t>
  </si>
  <si>
    <t>Başlangıç Tarihi27</t>
  </si>
  <si>
    <t>Bitiş Tarihi</t>
  </si>
  <si>
    <t>Bitiş Tarihi29</t>
  </si>
  <si>
    <t>Makine Durumu</t>
  </si>
  <si>
    <t>Mal Sahibi</t>
  </si>
  <si>
    <t>Motor seri no.</t>
  </si>
  <si>
    <t>Per.Muayene bitiş Tr</t>
  </si>
  <si>
    <t>Plan Kira PB</t>
  </si>
  <si>
    <t>Poliçe No</t>
  </si>
  <si>
    <t>Poliçe No36</t>
  </si>
  <si>
    <t>Prim Tutarı</t>
  </si>
  <si>
    <t>Prim Tutarı38</t>
  </si>
  <si>
    <t>Ruhsat Sahibi</t>
  </si>
  <si>
    <t>Satınalma dğr.</t>
  </si>
  <si>
    <t>Satınalma trh.</t>
  </si>
  <si>
    <t>Sigorta Sirketi</t>
  </si>
  <si>
    <t>Sigorta Sirketi43</t>
  </si>
  <si>
    <t>Ş</t>
  </si>
  <si>
    <t>1000</t>
  </si>
  <si>
    <t>1001</t>
  </si>
  <si>
    <t>EQ2215</t>
  </si>
  <si>
    <t>1035</t>
  </si>
  <si>
    <t>135</t>
  </si>
  <si>
    <t>10001035</t>
  </si>
  <si>
    <t>1035-01</t>
  </si>
  <si>
    <t>BINEKARAC</t>
  </si>
  <si>
    <t>BA-090</t>
  </si>
  <si>
    <t>OTOMOBİL FIAT EGEA 1.3 MULTIJET</t>
  </si>
  <si>
    <t>EGEA</t>
  </si>
  <si>
    <t>06CBB253</t>
  </si>
  <si>
    <t>FIAT</t>
  </si>
  <si>
    <t/>
  </si>
  <si>
    <t>T</t>
  </si>
  <si>
    <t>OTOMOBİL</t>
  </si>
  <si>
    <t>KLNB</t>
  </si>
  <si>
    <t>FP303298</t>
  </si>
  <si>
    <t>000000000000000000000000000000</t>
  </si>
  <si>
    <t>SERAY SİGORTA ARACILIK HİZM.LT</t>
  </si>
  <si>
    <t>GRUP MAKİNELERİ</t>
  </si>
  <si>
    <t>KLV A.Ş.</t>
  </si>
  <si>
    <t>TRY</t>
  </si>
  <si>
    <t>1830953310</t>
  </si>
  <si>
    <t>1818196471</t>
  </si>
  <si>
    <t>SER-AY SİGORTA ARACILIK HİZM.</t>
  </si>
  <si>
    <t>ZFA35600006S14994</t>
  </si>
  <si>
    <t>EQ3489</t>
  </si>
  <si>
    <t>BA-254</t>
  </si>
  <si>
    <t>SUV RENAULT DUSTER EVOLUTION MILD HYBRID</t>
  </si>
  <si>
    <t>DUSTER</t>
  </si>
  <si>
    <t>06EZE162</t>
  </si>
  <si>
    <t>RENAULT</t>
  </si>
  <si>
    <t>2024</t>
  </si>
  <si>
    <t>SUV</t>
  </si>
  <si>
    <t>HP113619</t>
  </si>
  <si>
    <t>H5FA604D011963</t>
  </si>
  <si>
    <t>1864377720</t>
  </si>
  <si>
    <t>1854673610</t>
  </si>
  <si>
    <t>VF1RJF01974008969</t>
  </si>
  <si>
    <t>EQ3491</t>
  </si>
  <si>
    <t>1038</t>
  </si>
  <si>
    <t>138</t>
  </si>
  <si>
    <t>10001038</t>
  </si>
  <si>
    <t>1038-01</t>
  </si>
  <si>
    <t>BA-256</t>
  </si>
  <si>
    <t>06EZE159</t>
  </si>
  <si>
    <t>HP113621</t>
  </si>
  <si>
    <t>H5FA604D011871</t>
  </si>
  <si>
    <t>1864383960</t>
  </si>
  <si>
    <t>1854678950</t>
  </si>
  <si>
    <t>VF1RJF01074008956</t>
  </si>
  <si>
    <t>EQ3884</t>
  </si>
  <si>
    <t>BA-280</t>
  </si>
  <si>
    <t>OTOMOBİL TOYOTA COROLLA CROSS 1.8 HYBRID</t>
  </si>
  <si>
    <t>COROLLA CROSS 1.8 HY</t>
  </si>
  <si>
    <t>06GCT346</t>
  </si>
  <si>
    <t>TOYOTA</t>
  </si>
  <si>
    <t>2026</t>
  </si>
  <si>
    <t>IM699026</t>
  </si>
  <si>
    <t>2ZR3K21305</t>
  </si>
  <si>
    <t>ALBARAKA TÜRK KATILIM BANKASI</t>
  </si>
  <si>
    <t>JTNADADB709036009</t>
  </si>
  <si>
    <t>EQ2506</t>
  </si>
  <si>
    <t>CEKICI</t>
  </si>
  <si>
    <t>CKC-035</t>
  </si>
  <si>
    <t>ÇEKİCİ MERCEDES-BENZ ACTROS 1851</t>
  </si>
  <si>
    <t>ACTROS 1851</t>
  </si>
  <si>
    <t>06CZN617</t>
  </si>
  <si>
    <t>MERCEDES-BENZ</t>
  </si>
  <si>
    <t>2021</t>
  </si>
  <si>
    <t>ÇEKİCİ</t>
  </si>
  <si>
    <t>GA891383</t>
  </si>
  <si>
    <t>471926C0652428</t>
  </si>
  <si>
    <t>1928830850</t>
  </si>
  <si>
    <t>1818210391</t>
  </si>
  <si>
    <t>FİBA BANKA ANKARA KURUMSAL ŞUB</t>
  </si>
  <si>
    <t>NMB96340312210319</t>
  </si>
  <si>
    <t>EQ1710</t>
  </si>
  <si>
    <t>DORSE GRUP</t>
  </si>
  <si>
    <t>SAD-001</t>
  </si>
  <si>
    <t>SAL DORSE SCHMITZ  13 -60</t>
  </si>
  <si>
    <t>SPR24</t>
  </si>
  <si>
    <t>06YON05</t>
  </si>
  <si>
    <t>SCHMITZ</t>
  </si>
  <si>
    <t>2003</t>
  </si>
  <si>
    <t>SAL DORSE</t>
  </si>
  <si>
    <t>GF398496</t>
  </si>
  <si>
    <t>YOK</t>
  </si>
  <si>
    <t>RÖMORK/ TRAFIK YOK</t>
  </si>
  <si>
    <t>WSMS6080000504500</t>
  </si>
  <si>
    <t>1818285271</t>
  </si>
  <si>
    <t>6816</t>
  </si>
  <si>
    <t>EQ0197</t>
  </si>
  <si>
    <t>IS MAKINE</t>
  </si>
  <si>
    <t>BKL-011</t>
  </si>
  <si>
    <t>BEKO LOADER HIDROMEK HMK 102S</t>
  </si>
  <si>
    <t>HMK 102S ALPHA</t>
  </si>
  <si>
    <t>34.00.17.17645</t>
  </si>
  <si>
    <t>HIDROMEK</t>
  </si>
  <si>
    <t>2017</t>
  </si>
  <si>
    <t>BEKO LOADER</t>
  </si>
  <si>
    <t>SERAY  SİGORTA ARACILIK HİZMET</t>
  </si>
  <si>
    <t>NM75621U291211C</t>
  </si>
  <si>
    <t>1487291823</t>
  </si>
  <si>
    <t>178108620</t>
  </si>
  <si>
    <t>HMK102SHA2S092050</t>
  </si>
  <si>
    <t>EQ0198</t>
  </si>
  <si>
    <t>BKL-012</t>
  </si>
  <si>
    <t>34.00.12.5839</t>
  </si>
  <si>
    <t>2012</t>
  </si>
  <si>
    <t>B334307</t>
  </si>
  <si>
    <t>SER-AY  SİGORTA ARACILIK HİZME</t>
  </si>
  <si>
    <t>NM75147U160838W</t>
  </si>
  <si>
    <t>1840647551</t>
  </si>
  <si>
    <t>HMK102STV35A80339</t>
  </si>
  <si>
    <t>EQ0207</t>
  </si>
  <si>
    <t>BKL-021</t>
  </si>
  <si>
    <t>HMK 102S</t>
  </si>
  <si>
    <t>34.00.20.3282</t>
  </si>
  <si>
    <t>2020</t>
  </si>
  <si>
    <t>B352494</t>
  </si>
  <si>
    <t>HDİ SİGORTA A.Ş.</t>
  </si>
  <si>
    <t>NM75621U331888F</t>
  </si>
  <si>
    <t>912174448</t>
  </si>
  <si>
    <t>1154345923</t>
  </si>
  <si>
    <t>TÜRKİYE FİNANS KATILIM BANKASI</t>
  </si>
  <si>
    <t>HDI SİGORTA</t>
  </si>
  <si>
    <t>HMK102SLP2S093180</t>
  </si>
  <si>
    <t>EQ0217</t>
  </si>
  <si>
    <t>BTF-001</t>
  </si>
  <si>
    <t>BETON FINISHERI POWER CURBER  5700-D</t>
  </si>
  <si>
    <t>5700-D</t>
  </si>
  <si>
    <t>34.00.20.9034.</t>
  </si>
  <si>
    <t>POWER CURBER</t>
  </si>
  <si>
    <t>BETON FİNİŞERİ</t>
  </si>
  <si>
    <t>B438027</t>
  </si>
  <si>
    <t>746271167</t>
  </si>
  <si>
    <t>57D01-20-0543023</t>
  </si>
  <si>
    <t>EQ0526</t>
  </si>
  <si>
    <t>DZR-001</t>
  </si>
  <si>
    <t>DOZER KOMATSU D155AX-6</t>
  </si>
  <si>
    <t>D155AX-6</t>
  </si>
  <si>
    <t>34.00.13.5612</t>
  </si>
  <si>
    <t>KOMATSU</t>
  </si>
  <si>
    <t>2011</t>
  </si>
  <si>
    <t>DOZER</t>
  </si>
  <si>
    <t>A645806</t>
  </si>
  <si>
    <t>538159</t>
  </si>
  <si>
    <t>81432</t>
  </si>
  <si>
    <t>EQ0527</t>
  </si>
  <si>
    <t>DZR-002</t>
  </si>
  <si>
    <t>DOZER CATERPILLAR D7-R2</t>
  </si>
  <si>
    <t>D7-R2</t>
  </si>
  <si>
    <t>34.00.16.22897</t>
  </si>
  <si>
    <t>CATERPILLAR</t>
  </si>
  <si>
    <t>A619619</t>
  </si>
  <si>
    <t>7ZR26598</t>
  </si>
  <si>
    <t>BRM01017</t>
  </si>
  <si>
    <t>EQ0529</t>
  </si>
  <si>
    <t>DZR-004</t>
  </si>
  <si>
    <t>34.00.19.12152</t>
  </si>
  <si>
    <t>2019</t>
  </si>
  <si>
    <t>B359952</t>
  </si>
  <si>
    <t>542581</t>
  </si>
  <si>
    <t>82152</t>
  </si>
  <si>
    <t>EQ0564</t>
  </si>
  <si>
    <t>EKS-011</t>
  </si>
  <si>
    <t>EKSCAVATOR HITACHI ZX 490 H-5A</t>
  </si>
  <si>
    <t>ZX 490 H-5A</t>
  </si>
  <si>
    <t>34.00.17.5310</t>
  </si>
  <si>
    <t>HITACHI</t>
  </si>
  <si>
    <t>EKSCAVATÖR</t>
  </si>
  <si>
    <t>527895</t>
  </si>
  <si>
    <t>178109420</t>
  </si>
  <si>
    <t>HCMJAE90K00060169</t>
  </si>
  <si>
    <t>EQ0566</t>
  </si>
  <si>
    <t>EKS-013</t>
  </si>
  <si>
    <t>EKSCAVATOR HITACHI ZX 210 H-5A</t>
  </si>
  <si>
    <t>ZX 210 H-5A</t>
  </si>
  <si>
    <t>34.00.17.5313</t>
  </si>
  <si>
    <t>B321974</t>
  </si>
  <si>
    <t>PROYAP A.Ş.</t>
  </si>
  <si>
    <t>747628</t>
  </si>
  <si>
    <t>1962985630</t>
  </si>
  <si>
    <t>HCMDCX92E00300187</t>
  </si>
  <si>
    <t>EQ2901</t>
  </si>
  <si>
    <t>FRK-005</t>
  </si>
  <si>
    <t>FORKLIFT JCB TELEHANDLER</t>
  </si>
  <si>
    <t>540V180</t>
  </si>
  <si>
    <t>34.00.23.12753</t>
  </si>
  <si>
    <t>2023</t>
  </si>
  <si>
    <t>FORKLİFT</t>
  </si>
  <si>
    <t>B352498</t>
  </si>
  <si>
    <t>41840U1129223</t>
  </si>
  <si>
    <t>JCB5RANGLP3241618</t>
  </si>
  <si>
    <t>EQ0625</t>
  </si>
  <si>
    <t>GRY-009</t>
  </si>
  <si>
    <t>GREYDER CATERPILLAR 12 H</t>
  </si>
  <si>
    <t>12 H</t>
  </si>
  <si>
    <t>34.00.13.3087</t>
  </si>
  <si>
    <t>2000</t>
  </si>
  <si>
    <t>GREYDER</t>
  </si>
  <si>
    <t>A582318</t>
  </si>
  <si>
    <t>6NC17431</t>
  </si>
  <si>
    <t>1276888322</t>
  </si>
  <si>
    <t>178111020</t>
  </si>
  <si>
    <t>2GS00418</t>
  </si>
  <si>
    <t>EQ0626</t>
  </si>
  <si>
    <t>GRY-010</t>
  </si>
  <si>
    <t>34.00.11.3626</t>
  </si>
  <si>
    <t>2005</t>
  </si>
  <si>
    <t>A412128</t>
  </si>
  <si>
    <t>4ZF18367</t>
  </si>
  <si>
    <t>1038381224</t>
  </si>
  <si>
    <t>AMZ00670</t>
  </si>
  <si>
    <t>EQ3587</t>
  </si>
  <si>
    <t>KIR-906</t>
  </si>
  <si>
    <t>EKSCAVATOR CATERPILLAR 336 D</t>
  </si>
  <si>
    <t>336 D</t>
  </si>
  <si>
    <t>34.00.11.4461</t>
  </si>
  <si>
    <t>KİRALIK</t>
  </si>
  <si>
    <t>MTD İŞ MAKİNALARI MÜH. SAN.TİC</t>
  </si>
  <si>
    <t>308316/0PPN00510</t>
  </si>
  <si>
    <t>EQ3793</t>
  </si>
  <si>
    <t>KIR-989</t>
  </si>
  <si>
    <t>EKSCAVATOR HITACHI ZX490LCH-5A</t>
  </si>
  <si>
    <t>ZX490LCH-5A</t>
  </si>
  <si>
    <t>AFS İŞ MAKİNELERİ YEDEK PARÇA</t>
  </si>
  <si>
    <t>HCMJAE91L0061080</t>
  </si>
  <si>
    <t>EQ3082</t>
  </si>
  <si>
    <t>LEKS-004</t>
  </si>
  <si>
    <t>LASTİKLİ EKSCAVATOR HİDROMEK 210W-5</t>
  </si>
  <si>
    <t>210W-5</t>
  </si>
  <si>
    <t>34.00.23.26389</t>
  </si>
  <si>
    <t>HİDROMEK</t>
  </si>
  <si>
    <t>EKSCAVATÖR-LASTİKLİ</t>
  </si>
  <si>
    <t>B398363</t>
  </si>
  <si>
    <t>864694</t>
  </si>
  <si>
    <t>1849647300</t>
  </si>
  <si>
    <t>HMKH2280CP1225032</t>
  </si>
  <si>
    <t>EQ1522</t>
  </si>
  <si>
    <t>LSY-001</t>
  </si>
  <si>
    <t>LASTİKLİ YÜKLEYİCİ CATERPILLAR 950 GC</t>
  </si>
  <si>
    <t>950 GC</t>
  </si>
  <si>
    <t>34.00.17.13704</t>
  </si>
  <si>
    <t>2016</t>
  </si>
  <si>
    <t>LASTİKLİ YÜKLEYİCİ</t>
  </si>
  <si>
    <t>A489379</t>
  </si>
  <si>
    <t>E7A05139</t>
  </si>
  <si>
    <t>GARANTİ FİNANSAL KİRALAMA ANOM</t>
  </si>
  <si>
    <t>M5K01030</t>
  </si>
  <si>
    <t>EQ1529</t>
  </si>
  <si>
    <t>LSY-008</t>
  </si>
  <si>
    <t>LASTİKLİ YÜKLEYİCİ KAWASAKI 90Z6</t>
  </si>
  <si>
    <t>90Z6</t>
  </si>
  <si>
    <t>34.00.16.21270</t>
  </si>
  <si>
    <t>KAWASAKI</t>
  </si>
  <si>
    <t>B321959</t>
  </si>
  <si>
    <t>35337278</t>
  </si>
  <si>
    <t>1962981750</t>
  </si>
  <si>
    <t>90C79020</t>
  </si>
  <si>
    <t>EQ1581</t>
  </si>
  <si>
    <t>MNY-005</t>
  </si>
  <si>
    <t>MİNİ YÜKLEYİCİ MUSTANG SL 2076 DXT</t>
  </si>
  <si>
    <t>SL 2076 DXT</t>
  </si>
  <si>
    <t>34.00.15.4767</t>
  </si>
  <si>
    <t>MUSTANG</t>
  </si>
  <si>
    <t>MİNİ YÜKLEYİCİ</t>
  </si>
  <si>
    <t>A610274</t>
  </si>
  <si>
    <t>H8825</t>
  </si>
  <si>
    <t>1473692222</t>
  </si>
  <si>
    <t>178109720</t>
  </si>
  <si>
    <t>NMC02076B00006211</t>
  </si>
  <si>
    <t>EQ1828</t>
  </si>
  <si>
    <t>TSL-003</t>
  </si>
  <si>
    <t>TOPRAK SİLİNDİRİ BOMAG BW 213 D-5</t>
  </si>
  <si>
    <t>BW 213 D-5</t>
  </si>
  <si>
    <t>34.00.17.6419</t>
  </si>
  <si>
    <t>BOMAG</t>
  </si>
  <si>
    <t>TOPRAK SİLİNDİRİ</t>
  </si>
  <si>
    <t>11995399</t>
  </si>
  <si>
    <t>1220068424</t>
  </si>
  <si>
    <t>101586481122</t>
  </si>
  <si>
    <t>EQ1833</t>
  </si>
  <si>
    <t>TSL-008</t>
  </si>
  <si>
    <t>TOPRAK SİLİNDİRİ BOMAG BW 216 D-5</t>
  </si>
  <si>
    <t>BW 216 D-5</t>
  </si>
  <si>
    <t>34.00.17.22082</t>
  </si>
  <si>
    <t>B334300</t>
  </si>
  <si>
    <t>12064512</t>
  </si>
  <si>
    <t>1854050220</t>
  </si>
  <si>
    <t>101586261107</t>
  </si>
  <si>
    <t>EQ1547</t>
  </si>
  <si>
    <t>ISIK KULE</t>
  </si>
  <si>
    <t>LTW-010</t>
  </si>
  <si>
    <t>AYDINLATMA KULESİ CHICAGO PNEUMATIC</t>
  </si>
  <si>
    <t>CPLT V15 MH - 5.4 KW</t>
  </si>
  <si>
    <t>WUX916185</t>
  </si>
  <si>
    <t>CHICAGO PNEUMATIC</t>
  </si>
  <si>
    <t>2018</t>
  </si>
  <si>
    <t>AYDINLATMA KULESİ</t>
  </si>
  <si>
    <t>EQ1550</t>
  </si>
  <si>
    <t>LTW-013</t>
  </si>
  <si>
    <t>AYDINLATMA KULESİ WACKER NEUSON 8 KW</t>
  </si>
  <si>
    <t>LTS8L - 8 KW - DIZEL</t>
  </si>
  <si>
    <t>18201141</t>
  </si>
  <si>
    <t>WACKER NEUSON</t>
  </si>
  <si>
    <t>4909501006 (KOHLER KDW1003GE)</t>
  </si>
  <si>
    <t>EQ1553</t>
  </si>
  <si>
    <t>LTW-017</t>
  </si>
  <si>
    <t>WUX916188</t>
  </si>
  <si>
    <t>EQ3927</t>
  </si>
  <si>
    <t>LTW-026</t>
  </si>
  <si>
    <t>AYDINLATMA KULESİ  ITALTOWER FENIX GEN01</t>
  </si>
  <si>
    <t>FENIX GEN01</t>
  </si>
  <si>
    <t>ITALTOWER</t>
  </si>
  <si>
    <t>5326500216</t>
  </si>
  <si>
    <t>260462</t>
  </si>
  <si>
    <t>EQ3928</t>
  </si>
  <si>
    <t>LTW-027</t>
  </si>
  <si>
    <t>5329800136</t>
  </si>
  <si>
    <t>260464</t>
  </si>
  <si>
    <t>EQ3929</t>
  </si>
  <si>
    <t>LTW-028</t>
  </si>
  <si>
    <t>5326500266</t>
  </si>
  <si>
    <t>260465</t>
  </si>
  <si>
    <t>EQ3930</t>
  </si>
  <si>
    <t>LTW-029</t>
  </si>
  <si>
    <t>5329800376</t>
  </si>
  <si>
    <t>260466</t>
  </si>
  <si>
    <t>EQ0655</t>
  </si>
  <si>
    <t>JENERATOR</t>
  </si>
  <si>
    <t>JNR-014</t>
  </si>
  <si>
    <t>JENERATÖR DİESEL AKSA APD33A 35 KWA</t>
  </si>
  <si>
    <t>APD33A - 35 KVA -DIZ</t>
  </si>
  <si>
    <t>AKSA</t>
  </si>
  <si>
    <t>JENERATÖR</t>
  </si>
  <si>
    <t>17001080</t>
  </si>
  <si>
    <t>EQ0659</t>
  </si>
  <si>
    <t>JNR-018</t>
  </si>
  <si>
    <t>JENERATÖR FE POWER  FE-Y17</t>
  </si>
  <si>
    <t>FE-Y17</t>
  </si>
  <si>
    <t>FE POWER</t>
  </si>
  <si>
    <t>EXPBK2020-130</t>
  </si>
  <si>
    <t>EQ0661</t>
  </si>
  <si>
    <t>JNR-020</t>
  </si>
  <si>
    <t>AKSA  TURBOCHARGER - 800 KVA ( KTA2300 G</t>
  </si>
  <si>
    <t>TURBOCHARGER - 800 K</t>
  </si>
  <si>
    <t>H10228</t>
  </si>
  <si>
    <t>CUMMIS KTA2300G (33101889)</t>
  </si>
  <si>
    <t>EQ0663</t>
  </si>
  <si>
    <t>JNR-022</t>
  </si>
  <si>
    <t>ALIMAR  ALMRAAA 33</t>
  </si>
  <si>
    <t>ALMRAAA 33</t>
  </si>
  <si>
    <t>JNR-021</t>
  </si>
  <si>
    <t>ALIMAR</t>
  </si>
  <si>
    <t>AYD4ND32 (Y190902538)</t>
  </si>
  <si>
    <t>48342/20</t>
  </si>
  <si>
    <t>EQ0665</t>
  </si>
  <si>
    <t>JNR-024</t>
  </si>
  <si>
    <t>FULL FR150C - 150 KVA</t>
  </si>
  <si>
    <t>FR150C - 150 KVA</t>
  </si>
  <si>
    <t>FULL</t>
  </si>
  <si>
    <t>D-950176E</t>
  </si>
  <si>
    <t>35R0150241283</t>
  </si>
  <si>
    <t>EQ2835</t>
  </si>
  <si>
    <t>JNR-046</t>
  </si>
  <si>
    <t>JENERATÖR ALIMAR  ALMRAAA 36</t>
  </si>
  <si>
    <t>M</t>
  </si>
  <si>
    <t>65464/23</t>
  </si>
  <si>
    <t>EQ3804</t>
  </si>
  <si>
    <t>KIR-1000</t>
  </si>
  <si>
    <t>JENERATÖR AKSA 200 KVA CUMMİNS</t>
  </si>
  <si>
    <t>200 KVA CUMMİNS</t>
  </si>
  <si>
    <t>2013</t>
  </si>
  <si>
    <t>TÜM DİZEL</t>
  </si>
  <si>
    <t>F345400</t>
  </si>
  <si>
    <t>87617149</t>
  </si>
  <si>
    <t>EQ3805</t>
  </si>
  <si>
    <t>KIR-1002</t>
  </si>
  <si>
    <t>JENERATÖR İŞBİR SGB 608/407 KVA</t>
  </si>
  <si>
    <t>SGB 608/407 KVA</t>
  </si>
  <si>
    <t>İŞBİR</t>
  </si>
  <si>
    <t>1995</t>
  </si>
  <si>
    <t>4638</t>
  </si>
  <si>
    <t>EQ3717</t>
  </si>
  <si>
    <t>KIR-977</t>
  </si>
  <si>
    <t>JENERATÖR AKSA AC200 200 KVA</t>
  </si>
  <si>
    <t>AC200 200 KVA</t>
  </si>
  <si>
    <t>AK4150</t>
  </si>
  <si>
    <t>78170578</t>
  </si>
  <si>
    <t>EQ3718</t>
  </si>
  <si>
    <t>KIR-978</t>
  </si>
  <si>
    <t>JENERATÖR AKSA AJD200 200 KVA</t>
  </si>
  <si>
    <t>AJD200 200 KVA</t>
  </si>
  <si>
    <t>1208257</t>
  </si>
  <si>
    <t>B016194</t>
  </si>
  <si>
    <t>EQ3802</t>
  </si>
  <si>
    <t>KIR-992</t>
  </si>
  <si>
    <t>21192694</t>
  </si>
  <si>
    <t>EQ3921</t>
  </si>
  <si>
    <t>KIR-993</t>
  </si>
  <si>
    <t>JENERATÖR AKSA AC200</t>
  </si>
  <si>
    <t>AC200</t>
  </si>
  <si>
    <t>2010</t>
  </si>
  <si>
    <t>1384733</t>
  </si>
  <si>
    <t>21939576</t>
  </si>
  <si>
    <t>EQ3803</t>
  </si>
  <si>
    <t>KIR-997</t>
  </si>
  <si>
    <t>JENERATÖR AKSA AC 200 200 KVA</t>
  </si>
  <si>
    <t>AC 200 200 KVA</t>
  </si>
  <si>
    <t>21949782</t>
  </si>
  <si>
    <t>EQ0009</t>
  </si>
  <si>
    <t>KAMYON GRP</t>
  </si>
  <si>
    <t>AKT-003</t>
  </si>
  <si>
    <t>AKARYAKIT TANKERİ ISUZU NPR 71</t>
  </si>
  <si>
    <t>NPR 71</t>
  </si>
  <si>
    <t>17UU186</t>
  </si>
  <si>
    <t>ISUZU</t>
  </si>
  <si>
    <t>2006</t>
  </si>
  <si>
    <t>AKARYAKIT TANKERİ</t>
  </si>
  <si>
    <t>DC592857</t>
  </si>
  <si>
    <t>327961</t>
  </si>
  <si>
    <t>1788055590</t>
  </si>
  <si>
    <t>1818239531</t>
  </si>
  <si>
    <t>NNANPR71L02024872</t>
  </si>
  <si>
    <t>EQ0019</t>
  </si>
  <si>
    <t>ARZ-003</t>
  </si>
  <si>
    <t>SU TANKERİ FORD  CARGO 2532</t>
  </si>
  <si>
    <t>CARGO 2532</t>
  </si>
  <si>
    <t>06FY3516</t>
  </si>
  <si>
    <t>FORD</t>
  </si>
  <si>
    <t>SU TANKERİ</t>
  </si>
  <si>
    <t>CT085802</t>
  </si>
  <si>
    <t>MOBİLİZE</t>
  </si>
  <si>
    <t>000000000000000000000003024280</t>
  </si>
  <si>
    <t>FU93710</t>
  </si>
  <si>
    <t>1792463970</t>
  </si>
  <si>
    <t>1818215631</t>
  </si>
  <si>
    <t>NM0LKXTP6LFU93710</t>
  </si>
  <si>
    <t>EQ0024</t>
  </si>
  <si>
    <t>ARZ-008</t>
  </si>
  <si>
    <t>SU TANKERİ FORD CARGO 2526</t>
  </si>
  <si>
    <t>CARGO 2526</t>
  </si>
  <si>
    <t>06FY6523</t>
  </si>
  <si>
    <t>FU198761</t>
  </si>
  <si>
    <t>ARVENTO</t>
  </si>
  <si>
    <t>000000000000000353322086517589</t>
  </si>
  <si>
    <t>DR93239</t>
  </si>
  <si>
    <t>1768800870</t>
  </si>
  <si>
    <t>1818186791</t>
  </si>
  <si>
    <t>NM0LKXTP6LDR93239</t>
  </si>
  <si>
    <t>EQ3920</t>
  </si>
  <si>
    <t>BKM-006</t>
  </si>
  <si>
    <t>BAKIM ARACI MERCEDES-BENZ ATEGO</t>
  </si>
  <si>
    <t>ATEGO</t>
  </si>
  <si>
    <t>06FV9054</t>
  </si>
  <si>
    <t>BAKIM ARACI</t>
  </si>
  <si>
    <t>IK3245369</t>
  </si>
  <si>
    <t>6CT50507403</t>
  </si>
  <si>
    <t>1816868271</t>
  </si>
  <si>
    <t>1818180151</t>
  </si>
  <si>
    <t>WDB97007310023394</t>
  </si>
  <si>
    <t>EQ0219</t>
  </si>
  <si>
    <t>BTP-001</t>
  </si>
  <si>
    <t>BETON POMPASI MERCEDES 3340</t>
  </si>
  <si>
    <t>3340 K36 E5 NP-SCHWI</t>
  </si>
  <si>
    <t>06GA6634</t>
  </si>
  <si>
    <t>MERCEDES</t>
  </si>
  <si>
    <t>BETON POMPASI</t>
  </si>
  <si>
    <t>IK623301</t>
  </si>
  <si>
    <t>000000000000000000000002045468</t>
  </si>
  <si>
    <t>457957C0335432</t>
  </si>
  <si>
    <t>1845966180</t>
  </si>
  <si>
    <t>1818284271</t>
  </si>
  <si>
    <t>NMB94216212180774</t>
  </si>
  <si>
    <t>EQ3154</t>
  </si>
  <si>
    <t>BTP-002</t>
  </si>
  <si>
    <t>BETON POMPASI MERCEDES 3343 8X4</t>
  </si>
  <si>
    <t>06EJP632</t>
  </si>
  <si>
    <t>HP062782</t>
  </si>
  <si>
    <t>470913C0888217</t>
  </si>
  <si>
    <t>1931402090</t>
  </si>
  <si>
    <t>1818214031</t>
  </si>
  <si>
    <t>W1T96401810726438</t>
  </si>
  <si>
    <t>EQ0372</t>
  </si>
  <si>
    <t>DK-040</t>
  </si>
  <si>
    <t>SU TANKERİ MERCEDES AXOR 3340 K 6X4</t>
  </si>
  <si>
    <t>AXOR 3340 K 6X4</t>
  </si>
  <si>
    <t>06DC2749</t>
  </si>
  <si>
    <t>HN948649</t>
  </si>
  <si>
    <t>MOBİLİZE  ARVENTO</t>
  </si>
  <si>
    <t>000000000000000353322086543197</t>
  </si>
  <si>
    <t>86181</t>
  </si>
  <si>
    <t>1928817610</t>
  </si>
  <si>
    <t>1818222591</t>
  </si>
  <si>
    <t>NMB94216212085196</t>
  </si>
  <si>
    <t>EQ0481</t>
  </si>
  <si>
    <t>DK-150</t>
  </si>
  <si>
    <t>DAMPERLİ KAMYON MERCEDES AROCS 4142K 8X4</t>
  </si>
  <si>
    <t>AROCS 4142K 8X4</t>
  </si>
  <si>
    <t>06DCY249</t>
  </si>
  <si>
    <t>DAMPERLİ KAMYON</t>
  </si>
  <si>
    <t>IE099279</t>
  </si>
  <si>
    <t>471926C0406287</t>
  </si>
  <si>
    <t>1916386280</t>
  </si>
  <si>
    <t>1818205801</t>
  </si>
  <si>
    <t>NMB96423112191437</t>
  </si>
  <si>
    <t>EQ2872</t>
  </si>
  <si>
    <t>DK-271</t>
  </si>
  <si>
    <t>DAMPERLİ KAMYON FORD 1833</t>
  </si>
  <si>
    <t>1833 D CKK1</t>
  </si>
  <si>
    <t>06DSK765</t>
  </si>
  <si>
    <t>GN524209</t>
  </si>
  <si>
    <t>NS98689</t>
  </si>
  <si>
    <t>1907926500</t>
  </si>
  <si>
    <t>1818212061</t>
  </si>
  <si>
    <t>NM0KKXTP6KNS98689</t>
  </si>
  <si>
    <t>EQ3747</t>
  </si>
  <si>
    <t>DK-393</t>
  </si>
  <si>
    <t>DAMPERLİ KAMYON MERCEDES AROCS 4148 8X4</t>
  </si>
  <si>
    <t>AROCS 4148 K 8X4 GSR</t>
  </si>
  <si>
    <t>06FZF818</t>
  </si>
  <si>
    <t>II355413</t>
  </si>
  <si>
    <t>471943C1108143</t>
  </si>
  <si>
    <t>1945126390</t>
  </si>
  <si>
    <t>1944913500</t>
  </si>
  <si>
    <t>GARANTİ BANKASI BAŞKENT TİCARİ</t>
  </si>
  <si>
    <t>NMB96423712271362</t>
  </si>
  <si>
    <t>EQ3817</t>
  </si>
  <si>
    <t>DK-400</t>
  </si>
  <si>
    <t>DAMPERLİ KAMYON MERCEDES- BENZ AROCS 414</t>
  </si>
  <si>
    <t>06GCZ938</t>
  </si>
  <si>
    <t>MERCEDES- BENZ</t>
  </si>
  <si>
    <t>IO732013</t>
  </si>
  <si>
    <t>471943C1125015</t>
  </si>
  <si>
    <t>MERCEDES-BENZ FİNANSAL KİRALAM</t>
  </si>
  <si>
    <t>NMB96423712274018</t>
  </si>
  <si>
    <t>EQ3818</t>
  </si>
  <si>
    <t>DK-401</t>
  </si>
  <si>
    <t>06GCZ677</t>
  </si>
  <si>
    <t>IO732008</t>
  </si>
  <si>
    <t>471943C1125614</t>
  </si>
  <si>
    <t>NMB96423112274015</t>
  </si>
  <si>
    <t>EQ3819</t>
  </si>
  <si>
    <t>DK-402</t>
  </si>
  <si>
    <t>06GCZ907</t>
  </si>
  <si>
    <t>IO732012</t>
  </si>
  <si>
    <t>471943C1125597</t>
  </si>
  <si>
    <t>NMB96423812274013</t>
  </si>
  <si>
    <t>EQ3820</t>
  </si>
  <si>
    <t>DK-403</t>
  </si>
  <si>
    <t>06GCZ857</t>
  </si>
  <si>
    <t>IO732004</t>
  </si>
  <si>
    <t>471943C1126156</t>
  </si>
  <si>
    <t>NMB96423212274007</t>
  </si>
  <si>
    <t>EQ3821</t>
  </si>
  <si>
    <t>DK-404</t>
  </si>
  <si>
    <t>06GCZ762</t>
  </si>
  <si>
    <t>IO732010</t>
  </si>
  <si>
    <t>471943C1126287</t>
  </si>
  <si>
    <t>NMB96423012274006</t>
  </si>
  <si>
    <t>EQ3822</t>
  </si>
  <si>
    <t>DK-405</t>
  </si>
  <si>
    <t>06GCZ786</t>
  </si>
  <si>
    <t>IO732005</t>
  </si>
  <si>
    <t>471943C1126001</t>
  </si>
  <si>
    <t>NMB96423412274087</t>
  </si>
  <si>
    <t>EQ3823</t>
  </si>
  <si>
    <t>DK-406</t>
  </si>
  <si>
    <t>06GCZ820</t>
  </si>
  <si>
    <t>IO732011</t>
  </si>
  <si>
    <t>471943C1126034</t>
  </si>
  <si>
    <t>NMB96423212274086</t>
  </si>
  <si>
    <t>EQ3824</t>
  </si>
  <si>
    <t>DK-407</t>
  </si>
  <si>
    <t>06GCZ650</t>
  </si>
  <si>
    <t>IO732007</t>
  </si>
  <si>
    <t>471943C1126283</t>
  </si>
  <si>
    <t>NMB96423912274005</t>
  </si>
  <si>
    <t>EQ3825</t>
  </si>
  <si>
    <t>DK-408</t>
  </si>
  <si>
    <t>06GCZ574</t>
  </si>
  <si>
    <t>IO732006</t>
  </si>
  <si>
    <t>471943C1126141</t>
  </si>
  <si>
    <t>NMB96423012274085</t>
  </si>
  <si>
    <t>EQ3826</t>
  </si>
  <si>
    <t>DK-409</t>
  </si>
  <si>
    <t>06GCZ718</t>
  </si>
  <si>
    <t>IO732009</t>
  </si>
  <si>
    <t>471943C1126153</t>
  </si>
  <si>
    <t>NMB96423X12274076</t>
  </si>
  <si>
    <t>EQ1555</t>
  </si>
  <si>
    <t>MBV-002</t>
  </si>
  <si>
    <t>MOBİL VİNÇFORD CARGO 520 LT-ACAR 115 TON</t>
  </si>
  <si>
    <t>CARGO 520 LT-ACAR 11</t>
  </si>
  <si>
    <t>27FH665</t>
  </si>
  <si>
    <t>MOBİL VİNÇ</t>
  </si>
  <si>
    <t>CV961324</t>
  </si>
  <si>
    <t>5A48345</t>
  </si>
  <si>
    <t>1830970130</t>
  </si>
  <si>
    <t>1818188211</t>
  </si>
  <si>
    <t>NM0B18TEDF5A48345</t>
  </si>
  <si>
    <t>EQ1556</t>
  </si>
  <si>
    <t>MBV-003</t>
  </si>
  <si>
    <t>MOBİL VİNÇ MERCEDES 2921/48</t>
  </si>
  <si>
    <t>2921/48</t>
  </si>
  <si>
    <t>06BS3937</t>
  </si>
  <si>
    <t>1998</t>
  </si>
  <si>
    <t>GF399772-FU198815</t>
  </si>
  <si>
    <t>000000000000000000000002060726</t>
  </si>
  <si>
    <t>NMB37126916016276</t>
  </si>
  <si>
    <t>1965526581</t>
  </si>
  <si>
    <t>1818228361</t>
  </si>
  <si>
    <t>EGM4200M0T000655</t>
  </si>
  <si>
    <t>EQ1558</t>
  </si>
  <si>
    <t>MBV-005</t>
  </si>
  <si>
    <t>MOBİL VİNÇ FORD CARGO 2524-ACAR 115 TON</t>
  </si>
  <si>
    <t>CARGO 2524-ACAR 115</t>
  </si>
  <si>
    <t>06GC5501</t>
  </si>
  <si>
    <t>IK571358</t>
  </si>
  <si>
    <t>5M45372</t>
  </si>
  <si>
    <t>1846244280</t>
  </si>
  <si>
    <t>1818286731</t>
  </si>
  <si>
    <t>NMOB18TEDF5M45372</t>
  </si>
  <si>
    <t>EQ2780</t>
  </si>
  <si>
    <t>MBV-006</t>
  </si>
  <si>
    <t>MOBİL VİNÇ MAN 39S MOBİL VİNÇ 75 TON</t>
  </si>
  <si>
    <t>TGS 41.400 8X4 BB</t>
  </si>
  <si>
    <t>16AT194</t>
  </si>
  <si>
    <t>Mn</t>
  </si>
  <si>
    <t>GD520606</t>
  </si>
  <si>
    <t>50532161533215</t>
  </si>
  <si>
    <t>1896455200</t>
  </si>
  <si>
    <t>1818172381</t>
  </si>
  <si>
    <t>WMA39SZZ4CM601900</t>
  </si>
  <si>
    <t>EQ3571</t>
  </si>
  <si>
    <t>MBV-013</t>
  </si>
  <si>
    <t>MOBİL VİNÇ FORD CARGO 3230</t>
  </si>
  <si>
    <t>3230</t>
  </si>
  <si>
    <t>06CBZ243</t>
  </si>
  <si>
    <t>2004</t>
  </si>
  <si>
    <t>HU863089</t>
  </si>
  <si>
    <t>6S54910</t>
  </si>
  <si>
    <t>1928835260</t>
  </si>
  <si>
    <t>1818198581</t>
  </si>
  <si>
    <t>NM0B83TEDF6S54910</t>
  </si>
  <si>
    <t>EQ1770</t>
  </si>
  <si>
    <t>TRM-005</t>
  </si>
  <si>
    <t>TRANSMİKSER MERCEDES AXOR 3029 8M3</t>
  </si>
  <si>
    <t>AXOR 3029 B-IMER 8M3</t>
  </si>
  <si>
    <t>81EH522</t>
  </si>
  <si>
    <t>TRANSMİKSER</t>
  </si>
  <si>
    <t>IK571357</t>
  </si>
  <si>
    <t>SER-AY SİGORTA ARACILIK HİZMET</t>
  </si>
  <si>
    <t>90291500950285</t>
  </si>
  <si>
    <t>1806411120</t>
  </si>
  <si>
    <t>1818228241</t>
  </si>
  <si>
    <t>NMB37537412110441</t>
  </si>
  <si>
    <t>EQ1771</t>
  </si>
  <si>
    <t>TRM-006</t>
  </si>
  <si>
    <t>81EH524</t>
  </si>
  <si>
    <t>IK571399</t>
  </si>
  <si>
    <t>000000000000000000000003024089</t>
  </si>
  <si>
    <t>90291500941883</t>
  </si>
  <si>
    <t>1806412880</t>
  </si>
  <si>
    <t>1818202131</t>
  </si>
  <si>
    <t>NMB37537412108936</t>
  </si>
  <si>
    <t>EQ3321</t>
  </si>
  <si>
    <t>TRM-013</t>
  </si>
  <si>
    <t>TRANSMİKSER MERCEDES AROCS 4142</t>
  </si>
  <si>
    <t>4142</t>
  </si>
  <si>
    <t>06ELJ703</t>
  </si>
  <si>
    <t>MERCEDES BENZ</t>
  </si>
  <si>
    <t>HL362083</t>
  </si>
  <si>
    <t>471926C0598723</t>
  </si>
  <si>
    <t>1975124791</t>
  </si>
  <si>
    <t>1818191541</t>
  </si>
  <si>
    <t>NMB96433112204397</t>
  </si>
  <si>
    <t>EQ3322</t>
  </si>
  <si>
    <t>TRM-014</t>
  </si>
  <si>
    <t>06ELJ717</t>
  </si>
  <si>
    <t>HG502406</t>
  </si>
  <si>
    <t>471926C0600173</t>
  </si>
  <si>
    <t>1965129101</t>
  </si>
  <si>
    <t>1818226351</t>
  </si>
  <si>
    <t>NMB96433112204400</t>
  </si>
  <si>
    <t>EQ3481</t>
  </si>
  <si>
    <t>TRM-017</t>
  </si>
  <si>
    <t>TRANSMİKSER MERCEDES-BENZ AROCS 963-8-G</t>
  </si>
  <si>
    <t>AROCS 963-8-G</t>
  </si>
  <si>
    <t>06EYV182</t>
  </si>
  <si>
    <t>HN469649</t>
  </si>
  <si>
    <t>471943C0864706</t>
  </si>
  <si>
    <t>1864401880</t>
  </si>
  <si>
    <t>1818213261</t>
  </si>
  <si>
    <t>NMB96433012238315</t>
  </si>
  <si>
    <t>EQ3484</t>
  </si>
  <si>
    <t>TRM-020</t>
  </si>
  <si>
    <t>06EYV166</t>
  </si>
  <si>
    <t>HN469655</t>
  </si>
  <si>
    <t>471943C0862164</t>
  </si>
  <si>
    <t>1864409450</t>
  </si>
  <si>
    <t>1818190331</t>
  </si>
  <si>
    <t>NMB96433612235838</t>
  </si>
  <si>
    <t>EQ3488</t>
  </si>
  <si>
    <t>TRM-024</t>
  </si>
  <si>
    <t>06EYV160</t>
  </si>
  <si>
    <t>HN469648</t>
  </si>
  <si>
    <t>471943C0866657</t>
  </si>
  <si>
    <t>1864422370</t>
  </si>
  <si>
    <t>1818207261</t>
  </si>
  <si>
    <t>NMB96433112238565</t>
  </si>
  <si>
    <t>EQ2709</t>
  </si>
  <si>
    <t>VAS-006</t>
  </si>
  <si>
    <t>SU TANKERİ FUSO FE 85 KS</t>
  </si>
  <si>
    <t>FE 85 KS</t>
  </si>
  <si>
    <t>06DIH252</t>
  </si>
  <si>
    <t>FUSO</t>
  </si>
  <si>
    <t>IL760501</t>
  </si>
  <si>
    <t>3686135</t>
  </si>
  <si>
    <t>1985094090</t>
  </si>
  <si>
    <t>1818286691</t>
  </si>
  <si>
    <t>NLTTECX1E01000570</t>
  </si>
  <si>
    <t>EQ1161</t>
  </si>
  <si>
    <t>KAMYONET</t>
  </si>
  <si>
    <t>KAM-467</t>
  </si>
  <si>
    <t>KAMYONET FIAT FIORINO COMBI 1.3MJET 95HP</t>
  </si>
  <si>
    <t>FIORINO COMBI POP 1.</t>
  </si>
  <si>
    <t>06BYC689</t>
  </si>
  <si>
    <t>IK623308</t>
  </si>
  <si>
    <t>000000000000000000000003026426</t>
  </si>
  <si>
    <t>552837756940480</t>
  </si>
  <si>
    <t>1930638560</t>
  </si>
  <si>
    <t>1818184901</t>
  </si>
  <si>
    <t>ZFA22500006R79040</t>
  </si>
  <si>
    <t>EQ1196</t>
  </si>
  <si>
    <t>KAM-502</t>
  </si>
  <si>
    <t>06BYD239</t>
  </si>
  <si>
    <t>IK571354</t>
  </si>
  <si>
    <t>000000000000000000000003025699</t>
  </si>
  <si>
    <t>552837756985589</t>
  </si>
  <si>
    <t>1930721480</t>
  </si>
  <si>
    <t>1818217391</t>
  </si>
  <si>
    <t>ZFA22500006R83359</t>
  </si>
  <si>
    <t>EQ2698</t>
  </si>
  <si>
    <t>PUP-109</t>
  </si>
  <si>
    <t>PICK-UP FORD TRANSIT 350M ÇIFT KABIN</t>
  </si>
  <si>
    <t>TRANSIT 350M ÇIFT KA</t>
  </si>
  <si>
    <t>34DLL387</t>
  </si>
  <si>
    <t>PICK-UP</t>
  </si>
  <si>
    <t>GG837672</t>
  </si>
  <si>
    <t>000000000000000000000003004713</t>
  </si>
  <si>
    <t>LY66608</t>
  </si>
  <si>
    <t>1835961560</t>
  </si>
  <si>
    <t>1818205181</t>
  </si>
  <si>
    <t>NM0CXXTTRCLY66608</t>
  </si>
  <si>
    <t>EQ2700</t>
  </si>
  <si>
    <t>PUP-111</t>
  </si>
  <si>
    <t>34BTT867</t>
  </si>
  <si>
    <t>GG837676</t>
  </si>
  <si>
    <t>KC23877</t>
  </si>
  <si>
    <t>1835982770</t>
  </si>
  <si>
    <t>1818195961</t>
  </si>
  <si>
    <t>NM0EXXTTGEKC23877</t>
  </si>
  <si>
    <t>EQ3509</t>
  </si>
  <si>
    <t>PUP-120</t>
  </si>
  <si>
    <t>TRANSİT 350M ÇİFT KABİN ECOBLUE 165PS EU</t>
  </si>
  <si>
    <t>TRANSIT 350M ECOBLUE</t>
  </si>
  <si>
    <t>06EZV135</t>
  </si>
  <si>
    <t>HP075652</t>
  </si>
  <si>
    <t>RS06243</t>
  </si>
  <si>
    <t>1869162530</t>
  </si>
  <si>
    <t>1818225481</t>
  </si>
  <si>
    <t>İŞ BANKASI YILDIZ TİCARİ ŞUBE</t>
  </si>
  <si>
    <t>NM0CXXTTRCRS06243</t>
  </si>
  <si>
    <t>EQ3809</t>
  </si>
  <si>
    <t>PUP-124</t>
  </si>
  <si>
    <t>PICK-UP ISUZU D-MAX 4X2 V-LIFE AT</t>
  </si>
  <si>
    <t>D-MAX 4X2 V-LIFE AT</t>
  </si>
  <si>
    <t>06GCY249</t>
  </si>
  <si>
    <t>IL761919</t>
  </si>
  <si>
    <t>FRC681</t>
  </si>
  <si>
    <t>MPATFR416TT008553</t>
  </si>
  <si>
    <t>EQ3810</t>
  </si>
  <si>
    <t>PUP-125</t>
  </si>
  <si>
    <t>06GCY265</t>
  </si>
  <si>
    <t>IL732108</t>
  </si>
  <si>
    <t>FRC674</t>
  </si>
  <si>
    <t>MPATER414TT008552</t>
  </si>
  <si>
    <t>EQ3811</t>
  </si>
  <si>
    <t>PUP-126</t>
  </si>
  <si>
    <t>06GCY285</t>
  </si>
  <si>
    <t>IL761920</t>
  </si>
  <si>
    <t>FRC673</t>
  </si>
  <si>
    <t>MPATFR412TT008551</t>
  </si>
  <si>
    <t>EQ3813</t>
  </si>
  <si>
    <t>PUP-128</t>
  </si>
  <si>
    <t>06GCY318</t>
  </si>
  <si>
    <t>IL761922</t>
  </si>
  <si>
    <t>FRC680</t>
  </si>
  <si>
    <t>MPATFR410TT008550</t>
  </si>
  <si>
    <t>EQ3815</t>
  </si>
  <si>
    <t>PUP-130</t>
  </si>
  <si>
    <t>06GCY453</t>
  </si>
  <si>
    <t>IO732110</t>
  </si>
  <si>
    <t>FPW325</t>
  </si>
  <si>
    <t>MPATER418TT007839</t>
  </si>
  <si>
    <t>EQ3816</t>
  </si>
  <si>
    <t>PUP-131</t>
  </si>
  <si>
    <t>06GCY472</t>
  </si>
  <si>
    <t>IL761918</t>
  </si>
  <si>
    <t>FPW332</t>
  </si>
  <si>
    <t>MPATFR410TT007852</t>
  </si>
  <si>
    <t>EQ3886</t>
  </si>
  <si>
    <t>PUP-133</t>
  </si>
  <si>
    <t>PICK-UP FORD TRANSİT 350M ÇİFT KABİN ECO</t>
  </si>
  <si>
    <t>TRANSİT 350M ÇİFT KA</t>
  </si>
  <si>
    <t>06GCY687</t>
  </si>
  <si>
    <t>IN871109</t>
  </si>
  <si>
    <t>TM04888</t>
  </si>
  <si>
    <t>NM0CXXTT9CTM04888</t>
  </si>
  <si>
    <t>EQ3888</t>
  </si>
  <si>
    <t>PUP-135</t>
  </si>
  <si>
    <t>06GCY685</t>
  </si>
  <si>
    <t>IN871111</t>
  </si>
  <si>
    <t>NM0CXXTT8CTM04915</t>
  </si>
  <si>
    <t>EQ3890</t>
  </si>
  <si>
    <t>PUP-137</t>
  </si>
  <si>
    <t>06GCY682</t>
  </si>
  <si>
    <t>IN871105</t>
  </si>
  <si>
    <t>TM04929</t>
  </si>
  <si>
    <t>NM0CXXTT8CTM04929</t>
  </si>
  <si>
    <t>EQ3892</t>
  </si>
  <si>
    <t>PUP-139</t>
  </si>
  <si>
    <t>06GCY680</t>
  </si>
  <si>
    <t>IN871103</t>
  </si>
  <si>
    <t>TM04965</t>
  </si>
  <si>
    <t>NM0CXXTT1CTM04965</t>
  </si>
  <si>
    <t>EQ3893</t>
  </si>
  <si>
    <t>PUP-140</t>
  </si>
  <si>
    <t>06GCY683</t>
  </si>
  <si>
    <t>IN871106</t>
  </si>
  <si>
    <t>TM04917</t>
  </si>
  <si>
    <t>NM0CXXTT1CTM04917</t>
  </si>
  <si>
    <t>EQ2469</t>
  </si>
  <si>
    <t>KANTAR</t>
  </si>
  <si>
    <t>KNT-014</t>
  </si>
  <si>
    <t>KANTAR SAHIN BASKÜL 80 TONLUK</t>
  </si>
  <si>
    <t>80 TONLUK</t>
  </si>
  <si>
    <t>SAHIN BASKÜL</t>
  </si>
  <si>
    <t>EQ0616</t>
  </si>
  <si>
    <t>KUCUK MKN</t>
  </si>
  <si>
    <t>GKM-003</t>
  </si>
  <si>
    <t>GAZALTI KAYNAK MAKİNASI GEKAMAC GKM420</t>
  </si>
  <si>
    <t>GKM420 2W</t>
  </si>
  <si>
    <t>GEKAMAC</t>
  </si>
  <si>
    <t>GAZ ALTI KAYNAK MAKİNESİ</t>
  </si>
  <si>
    <t>EQ3897</t>
  </si>
  <si>
    <t>SERVISARAC</t>
  </si>
  <si>
    <t>MNB-029</t>
  </si>
  <si>
    <t>MİNİBÜS FORD TRANSIT ICA ICE 440E CAMLI</t>
  </si>
  <si>
    <t>TRANSIT ICA ICE 440E</t>
  </si>
  <si>
    <t>06GCZ079</t>
  </si>
  <si>
    <t>MİNİBÜS</t>
  </si>
  <si>
    <t>IN871113</t>
  </si>
  <si>
    <t>TU74341</t>
  </si>
  <si>
    <t>NM0MXXTT8MTU74341</t>
  </si>
  <si>
    <t>EQ3902</t>
  </si>
  <si>
    <t>MNB-034</t>
  </si>
  <si>
    <t>06GCY958</t>
  </si>
  <si>
    <t>IN871117</t>
  </si>
  <si>
    <t>TU87829</t>
  </si>
  <si>
    <t>NM0MXXTT4MTU87829</t>
  </si>
  <si>
    <t>EQ3903</t>
  </si>
  <si>
    <t>MNB-035</t>
  </si>
  <si>
    <t>06GCY949</t>
  </si>
  <si>
    <t>IN871121</t>
  </si>
  <si>
    <t>TU87824</t>
  </si>
  <si>
    <t>NM0MXXTT5MTU87824</t>
  </si>
  <si>
    <t>EQ3905</t>
  </si>
  <si>
    <t>MNB-037</t>
  </si>
  <si>
    <t>06GCY961</t>
  </si>
  <si>
    <t>IN871123</t>
  </si>
  <si>
    <t>TM02881</t>
  </si>
  <si>
    <t>NM0MXXTTXMTM02881</t>
  </si>
  <si>
    <t>EQ3907</t>
  </si>
  <si>
    <t>MNB-039</t>
  </si>
  <si>
    <t>06GCY988</t>
  </si>
  <si>
    <t>IN871126</t>
  </si>
  <si>
    <t>TM03825</t>
  </si>
  <si>
    <t>NM0MXXTT5MTM03825</t>
  </si>
  <si>
    <t>EQ3908</t>
  </si>
  <si>
    <t>MNB-040</t>
  </si>
  <si>
    <t>06GCY981</t>
  </si>
  <si>
    <t>IN871122</t>
  </si>
  <si>
    <t>TM03814</t>
  </si>
  <si>
    <t>NM0MXXTT0MTM03814</t>
  </si>
  <si>
    <t>EQ2662</t>
  </si>
  <si>
    <t>TANK</t>
  </si>
  <si>
    <t>SAT-017</t>
  </si>
  <si>
    <t>SABİT AKARYAKIT 40.000 LITRE</t>
  </si>
  <si>
    <t>AKARYAKIT TANKI</t>
  </si>
  <si>
    <t>EQ2774</t>
  </si>
  <si>
    <t>TESIS</t>
  </si>
  <si>
    <t>KLV-003</t>
  </si>
  <si>
    <t>KULE VİNÇ BABA SAEZ BS12 66,5</t>
  </si>
  <si>
    <t>KULE VİNÇ</t>
  </si>
  <si>
    <t>222</t>
  </si>
  <si>
    <t>İŞ FİNANSAL KİRALAMA A.Ş.</t>
  </si>
  <si>
    <t>EQ2776</t>
  </si>
  <si>
    <t>KLV-004</t>
  </si>
  <si>
    <t>BABA İŞ MAKİNELERİ</t>
  </si>
  <si>
    <t>223</t>
  </si>
  <si>
    <t>EQ3540</t>
  </si>
  <si>
    <t>KLV-005</t>
  </si>
  <si>
    <t>BS10-67</t>
  </si>
  <si>
    <t>2025</t>
  </si>
  <si>
    <t>YAPI KREDİ FİNANSAL KİRALAMA</t>
  </si>
  <si>
    <t>00312</t>
  </si>
  <si>
    <t>EQ3580</t>
  </si>
  <si>
    <t>KLV-006</t>
  </si>
  <si>
    <t>KULE VİNÇ KASIRGA HSH QTP7025</t>
  </si>
  <si>
    <t>HSH QTP7025</t>
  </si>
  <si>
    <t>KASIRGA</t>
  </si>
  <si>
    <t>EQ3581</t>
  </si>
  <si>
    <t>KLV-007</t>
  </si>
  <si>
    <t>EQ3925</t>
  </si>
  <si>
    <t>TRE-001</t>
  </si>
  <si>
    <t>TOPRAK ELEME AYMAK AGS-1245</t>
  </si>
  <si>
    <t>AGS-1245</t>
  </si>
  <si>
    <t>AYMAK</t>
  </si>
  <si>
    <t>TOPRAK ELEME</t>
  </si>
  <si>
    <t>25433</t>
  </si>
  <si>
    <t>Ruhsat No</t>
  </si>
  <si>
    <t>Şaşi No</t>
  </si>
  <si>
    <t>2001</t>
  </si>
  <si>
    <t>EQ1524</t>
  </si>
  <si>
    <t>LSY-003</t>
  </si>
  <si>
    <t>LASTİKLİ YÜKLEYİCİ KOMATSU WA380-3 T3 A</t>
  </si>
  <si>
    <t>WA380-3 T3 A</t>
  </si>
  <si>
    <t>34.00.18.8856</t>
  </si>
  <si>
    <t>B319167</t>
  </si>
  <si>
    <t>26680299</t>
  </si>
  <si>
    <t>1243984023</t>
  </si>
  <si>
    <t>67773</t>
  </si>
  <si>
    <t>EQ1845</t>
  </si>
  <si>
    <t>TSL-020</t>
  </si>
  <si>
    <t>TOPRAK SİLİNDİRİ BOMAG BW213DH-5</t>
  </si>
  <si>
    <t>BW213DH-5</t>
  </si>
  <si>
    <t>34.00.20.3985</t>
  </si>
  <si>
    <t>B334132</t>
  </si>
  <si>
    <t>12403069</t>
  </si>
  <si>
    <t>1840658710</t>
  </si>
  <si>
    <t>101586721013</t>
  </si>
  <si>
    <t>EQ2128</t>
  </si>
  <si>
    <t>JNR-039</t>
  </si>
  <si>
    <t>GNT 70 KW JENERATÖR</t>
  </si>
  <si>
    <t>GNT70</t>
  </si>
  <si>
    <t>G120100831</t>
  </si>
  <si>
    <t>GEN POWER</t>
  </si>
  <si>
    <t>EQ3585</t>
  </si>
  <si>
    <t>MBV-014</t>
  </si>
  <si>
    <t>MOBİL VİNÇ MERCEDES-BENZ 2521</t>
  </si>
  <si>
    <t>2521</t>
  </si>
  <si>
    <t>06FGV832</t>
  </si>
  <si>
    <t>1996</t>
  </si>
  <si>
    <t>HU863072</t>
  </si>
  <si>
    <t>382919504000220</t>
  </si>
  <si>
    <t>1983092261</t>
  </si>
  <si>
    <t>1818288470</t>
  </si>
  <si>
    <t>NMB37126916009026</t>
  </si>
  <si>
    <t>B439604</t>
  </si>
  <si>
    <t>B439613</t>
  </si>
  <si>
    <t>1757074560</t>
  </si>
  <si>
    <t>B439608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</si>
</sst>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color theme="1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89" workbookViewId="0">
      <selection activeCell="E121" sqref="E121"/>
    </sheetView>
  </sheetViews>
  <sheetFormatPr defaultRowHeight="14.4"/>
  <cols>
    <col min="1" max="1" width="25.5546875" customWidth="1"/>
    <col min="2" max="2" width="15.109375" bestFit="1" customWidth="1"/>
    <col min="3" max="6" width="15.109375" customWidth="1"/>
    <col min="7" max="7" width="17" bestFit="1" customWidth="1"/>
    <col min="8" max="8" width="14.88671875" bestFit="1" customWidth="1"/>
    <col min="9" max="9" width="37" customWidth="1"/>
    <col min="10" max="10" width="20.77734375" bestFit="1" customWidth="1"/>
    <col min="11" max="11" width="20.6640625" bestFit="1" customWidth="1"/>
    <col min="12" max="12" width="15.77734375" customWidth="1"/>
  </cols>
  <sheetData>
    <row r="1" spans="1:12" ht="27.6">
      <c r="A1" s="12" t="s">
        <v>0</v>
      </c>
      <c r="B1" s="12" t="s">
        <v>1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988</v>
      </c>
      <c r="L1" s="12" t="s">
        <v>987</v>
      </c>
    </row>
    <row r="2" spans="1:12" ht="18.45" customHeight="1">
      <c r="A2" s="12" t="str">
        <f>VLOOKUP(B2,Sayfa2!A:O,15,0)</f>
        <v>06CBB253</v>
      </c>
      <c r="B2" s="13" t="str">
        <f>Sayfa2!A3</f>
        <v>BA-090</v>
      </c>
      <c r="C2" s="13" t="str">
        <f>VLOOKUP(B2,Sayfa2!A:G,7,0)</f>
        <v>1035</v>
      </c>
      <c r="D2" s="13" t="str">
        <f>VLOOKUP(B2,Sayfa2!A:H,8,0)</f>
        <v>135</v>
      </c>
      <c r="E2" s="13" t="str">
        <f>VLOOKUP(B2,Sayfa2!A:I,9,0)</f>
        <v>10001035</v>
      </c>
      <c r="F2" s="13" t="str">
        <f>VLOOKUP(B2,Sayfa2!A:J,10,0)</f>
        <v>1035-01</v>
      </c>
      <c r="G2" s="13">
        <f t="shared" ref="G2:G5" si="0">IF(H2="BINEKARAC", 702001, IF(H2="CEKICI", 702002, IF(H2="KAMYON GRP", 702002, IF(H2="SERVISARAC", 702002, IF(H2="KAMYONET", 702011, 702003)))))</f>
        <v>702001</v>
      </c>
      <c r="H2" s="14" t="str">
        <f>VLOOKUP(B2,Sayfa2!A:K,11,0)</f>
        <v>BINEKARAC</v>
      </c>
      <c r="I2" s="14" t="str">
        <f>VLOOKUP(B2,Sayfa2!A:N,13,0)</f>
        <v>OTOMOBİL FIAT EGEA 1.3 MULTIJET</v>
      </c>
      <c r="J2" s="14" t="str">
        <f>VLOOKUP(B2,Sayfa2!A:AI,35,0)</f>
        <v/>
      </c>
      <c r="K2" s="14" t="str">
        <f>VLOOKUP(Sayfa1!B2,Sayfa2!A:AU,47,0)</f>
        <v>ZFA35600006S14994</v>
      </c>
      <c r="L2" s="15" t="str">
        <f>VLOOKUP(B2,Sayfa2!A:U,21,0)</f>
        <v>FP303298</v>
      </c>
    </row>
    <row r="3" spans="1:12" ht="27.6">
      <c r="A3" s="12" t="str">
        <f>VLOOKUP(B3,Sayfa2!A:O,15,0)</f>
        <v>06EZE162</v>
      </c>
      <c r="B3" s="13" t="str">
        <f>Sayfa2!A4</f>
        <v>BA-254</v>
      </c>
      <c r="C3" s="13" t="str">
        <f>VLOOKUP(B3,Sayfa2!A:G,7,0)</f>
        <v>1035</v>
      </c>
      <c r="D3" s="13" t="str">
        <f>VLOOKUP(B3,Sayfa2!A:H,8,0)</f>
        <v>135</v>
      </c>
      <c r="E3" s="13" t="str">
        <f>VLOOKUP(B3,Sayfa2!A:I,9,0)</f>
        <v>10001035</v>
      </c>
      <c r="F3" s="13" t="str">
        <f>VLOOKUP(B3,Sayfa2!A:J,10,0)</f>
        <v>1035-01</v>
      </c>
      <c r="G3" s="13">
        <f t="shared" si="0"/>
        <v>702001</v>
      </c>
      <c r="H3" s="14" t="str">
        <f>VLOOKUP(B3,Sayfa2!A:K,11,0)</f>
        <v>BINEKARAC</v>
      </c>
      <c r="I3" s="14" t="str">
        <f>VLOOKUP(B3,Sayfa2!A:N,13,0)</f>
        <v>SUV RENAULT DUSTER EVOLUTION MILD HYBRID</v>
      </c>
      <c r="J3" s="14" t="str">
        <f>VLOOKUP(B3,Sayfa2!A:AI,35,0)</f>
        <v>H5FA604D011963</v>
      </c>
      <c r="K3" s="14" t="str">
        <f>VLOOKUP(B3,Sayfa2!A:U,21,0)</f>
        <v>HP113619</v>
      </c>
      <c r="L3" s="15" t="str">
        <f>VLOOKUP(B3,Sayfa2!A:U,21,0)</f>
        <v>HP113619</v>
      </c>
    </row>
    <row r="4" spans="1:12" ht="27.6">
      <c r="A4" s="12" t="str">
        <f>VLOOKUP(B4,Sayfa2!A:O,15,0)</f>
        <v>06EZE159</v>
      </c>
      <c r="B4" s="13" t="str">
        <f>Sayfa2!A5</f>
        <v>BA-256</v>
      </c>
      <c r="C4" s="13" t="str">
        <f>VLOOKUP(B4,Sayfa2!A:G,7,0)</f>
        <v>1038</v>
      </c>
      <c r="D4" s="13" t="str">
        <f>VLOOKUP(B4,Sayfa2!A:H,8,0)</f>
        <v>138</v>
      </c>
      <c r="E4" s="13" t="str">
        <f>VLOOKUP(B4,Sayfa2!A:I,9,0)</f>
        <v>10001038</v>
      </c>
      <c r="F4" s="13" t="str">
        <f>VLOOKUP(B4,Sayfa2!A:J,10,0)</f>
        <v>1038-01</v>
      </c>
      <c r="G4" s="13">
        <f t="shared" si="0"/>
        <v>702001</v>
      </c>
      <c r="H4" s="14" t="str">
        <f>VLOOKUP(B4,Sayfa2!A:K,11,0)</f>
        <v>BINEKARAC</v>
      </c>
      <c r="I4" s="14" t="str">
        <f>VLOOKUP(B4,Sayfa2!A:N,13,0)</f>
        <v>SUV RENAULT DUSTER EVOLUTION MILD HYBRID</v>
      </c>
      <c r="J4" s="14" t="str">
        <f>VLOOKUP(B4,Sayfa2!A:AI,35,0)</f>
        <v>H5FA604D011871</v>
      </c>
      <c r="K4" s="14" t="str">
        <f>VLOOKUP(B4,Sayfa2!A:U,21,0)</f>
        <v>HP113621</v>
      </c>
      <c r="L4" s="15" t="str">
        <f>VLOOKUP(B4,Sayfa2!A:U,21,0)</f>
        <v>HP113621</v>
      </c>
    </row>
    <row r="5" spans="1:12" ht="27.6">
      <c r="A5" s="12" t="str">
        <f>VLOOKUP(B5,Sayfa2!A:O,15,0)</f>
        <v>06GCT346</v>
      </c>
      <c r="B5" s="13" t="str">
        <f>Sayfa2!A6</f>
        <v>BA-280</v>
      </c>
      <c r="C5" s="13" t="str">
        <f>VLOOKUP(B5,Sayfa2!A:G,7,0)</f>
        <v>1038</v>
      </c>
      <c r="D5" s="13" t="str">
        <f>VLOOKUP(B5,Sayfa2!A:H,8,0)</f>
        <v>138</v>
      </c>
      <c r="E5" s="13" t="str">
        <f>VLOOKUP(B5,Sayfa2!A:I,9,0)</f>
        <v>10001038</v>
      </c>
      <c r="F5" s="13" t="str">
        <f>VLOOKUP(B5,Sayfa2!A:J,10,0)</f>
        <v>1038-01</v>
      </c>
      <c r="G5" s="13">
        <f t="shared" si="0"/>
        <v>702001</v>
      </c>
      <c r="H5" s="14" t="str">
        <f>VLOOKUP(B5,Sayfa2!A:K,11,0)</f>
        <v>BINEKARAC</v>
      </c>
      <c r="I5" s="14" t="str">
        <f>VLOOKUP(B5,Sayfa2!A:N,13,0)</f>
        <v>OTOMOBİL TOYOTA COROLLA CROSS 1.8 HYBRID</v>
      </c>
      <c r="J5" s="14" t="str">
        <f>VLOOKUP(B5,Sayfa2!A:AI,35,0)</f>
        <v>2ZR3K21305</v>
      </c>
      <c r="K5" s="14" t="str">
        <f>VLOOKUP(B5,Sayfa2!A:U,21,0)</f>
        <v>IM699026</v>
      </c>
      <c r="L5" s="15" t="str">
        <f>VLOOKUP(B5,Sayfa2!A:U,21,0)</f>
        <v>IM699026</v>
      </c>
    </row>
    <row r="6" spans="1:12" ht="28.2" thickBot="1">
      <c r="A6" s="10" t="str">
        <f>VLOOKUP(B6,Sayfa2!A:O,15,0)</f>
        <v>06CZN617</v>
      </c>
      <c r="B6" s="13" t="str">
        <f>Sayfa2!A7</f>
        <v>CKC-035</v>
      </c>
      <c r="C6" s="11" t="str">
        <f>VLOOKUP(B6,Sayfa2!A:G,7,0)</f>
        <v>1035</v>
      </c>
      <c r="D6" s="11" t="str">
        <f>VLOOKUP(B6,Sayfa2!A:H,8,0)</f>
        <v>135</v>
      </c>
      <c r="E6" s="11" t="str">
        <f>VLOOKUP(B6,Sayfa2!A:I,9,0)</f>
        <v>10001035</v>
      </c>
      <c r="F6" s="11" t="str">
        <f>VLOOKUP(B6,Sayfa2!A:J,10,0)</f>
        <v>1035-01</v>
      </c>
      <c r="G6" s="13">
        <f>IF(H6="BINEKARAC", 702001, IF(H6="CEKICI", 702002, IF(H6="KAMYON GRP", 702002, IF(H6="SERVISARAC", 702002, IF(H6="KAMYONET", 702011, 702003)))))</f>
        <v>702002</v>
      </c>
      <c r="H6" s="14" t="str">
        <f>VLOOKUP(B6,Sayfa2!A:K,11,0)</f>
        <v>CEKICI</v>
      </c>
      <c r="I6" s="14" t="str">
        <f>VLOOKUP(B6,Sayfa2!A:N,13,0)</f>
        <v>ÇEKİCİ MERCEDES-BENZ ACTROS 1851</v>
      </c>
      <c r="J6" s="14" t="str">
        <f>VLOOKUP(B6,Sayfa2!A:AI,35,0)</f>
        <v>471926C0652428</v>
      </c>
      <c r="K6" s="14" t="str">
        <f>VLOOKUP(B6,Sayfa2!A:U,21,0)</f>
        <v>GA891383</v>
      </c>
      <c r="L6" s="15" t="str">
        <f>VLOOKUP(B6,Sayfa2!A:U,21,0)</f>
        <v>GA891383</v>
      </c>
    </row>
    <row r="7" spans="1:12" ht="28.2" thickBot="1">
      <c r="A7" s="1" t="str">
        <f>VLOOKUP(B7,Sayfa2!A:O,15,0)</f>
        <v>06YON05</v>
      </c>
      <c r="B7" s="13" t="str">
        <f>Sayfa2!A8</f>
        <v>SAD-001</v>
      </c>
      <c r="C7" s="2" t="str">
        <f>VLOOKUP(B7,Sayfa2!A:G,7,0)</f>
        <v>1035</v>
      </c>
      <c r="D7" s="2" t="str">
        <f>VLOOKUP(B7,Sayfa2!A:H,8,0)</f>
        <v>135</v>
      </c>
      <c r="E7" s="2" t="str">
        <f>VLOOKUP(B7,Sayfa2!A:I,9,0)</f>
        <v>10001035</v>
      </c>
      <c r="F7" s="2" t="str">
        <f>VLOOKUP(B7,Sayfa2!A:J,10,0)</f>
        <v>1035-01</v>
      </c>
      <c r="G7" s="13">
        <f t="shared" ref="G7:G70" si="1">IF(H7="BINEKARAC", 702001, IF(H7="CEKICI", 702002, IF(H7="KAMYON GRP", 702002, IF(H7="SERVISARAC", 702002, IF(H7="KAMYONET", 702011, 702003)))))</f>
        <v>702003</v>
      </c>
      <c r="H7" s="14" t="str">
        <f>VLOOKUP(B7,Sayfa2!A:K,11,0)</f>
        <v>DORSE GRUP</v>
      </c>
      <c r="I7" s="14" t="str">
        <f>VLOOKUP(B7,Sayfa2!A:N,13,0)</f>
        <v>SAL DORSE SCHMITZ  13 -60</v>
      </c>
      <c r="J7" s="14" t="str">
        <f>VLOOKUP(B7,Sayfa2!A:AI,35,0)</f>
        <v>WSMS6080000504500</v>
      </c>
      <c r="K7" s="14" t="str">
        <f>VLOOKUP(B7,Sayfa2!A:U,21,0)</f>
        <v>GF398496</v>
      </c>
      <c r="L7" s="15" t="str">
        <f>VLOOKUP(B7,Sayfa2!A:U,21,0)</f>
        <v>GF398496</v>
      </c>
    </row>
    <row r="8" spans="1:12" ht="28.2" thickBot="1">
      <c r="A8" s="1" t="str">
        <f>VLOOKUP(B8,Sayfa2!A:O,15,0)</f>
        <v>34.00.17.17645</v>
      </c>
      <c r="B8" s="13" t="str">
        <f>Sayfa2!A9</f>
        <v>BKL-011</v>
      </c>
      <c r="C8" s="2" t="str">
        <f>VLOOKUP(B8,Sayfa2!A:G,7,0)</f>
        <v>1035</v>
      </c>
      <c r="D8" s="2" t="str">
        <f>VLOOKUP(B8,Sayfa2!A:H,8,0)</f>
        <v>135</v>
      </c>
      <c r="E8" s="2" t="str">
        <f>VLOOKUP(B8,Sayfa2!A:I,9,0)</f>
        <v>10001035</v>
      </c>
      <c r="F8" s="2" t="str">
        <f>VLOOKUP(B8,Sayfa2!A:J,10,0)</f>
        <v>1035-01</v>
      </c>
      <c r="G8" s="13">
        <f t="shared" si="1"/>
        <v>702003</v>
      </c>
      <c r="H8" s="14" t="str">
        <f>VLOOKUP(B8,Sayfa2!A:K,11,0)</f>
        <v>IS MAKINE</v>
      </c>
      <c r="I8" s="14" t="str">
        <f>VLOOKUP(B8,Sayfa2!A:N,13,0)</f>
        <v>BEKO LOADER HIDROMEK HMK 102S</v>
      </c>
      <c r="J8" s="14" t="str">
        <f>VLOOKUP(B8,Sayfa2!A:AI,35,0)</f>
        <v>NM75621U291211C</v>
      </c>
      <c r="K8" s="14" t="str">
        <f>VLOOKUP(B8,Sayfa2!A:U,21,0)</f>
        <v>B439604</v>
      </c>
      <c r="L8" s="15" t="str">
        <f>VLOOKUP(B8,Sayfa2!A:U,21,0)</f>
        <v>B439604</v>
      </c>
    </row>
    <row r="9" spans="1:12" ht="28.2" thickBot="1">
      <c r="A9" s="1" t="str">
        <f>VLOOKUP(B9,Sayfa2!A:O,15,0)</f>
        <v>34.00.12.5839</v>
      </c>
      <c r="B9" s="13" t="str">
        <f>Sayfa2!A10</f>
        <v>BKL-012</v>
      </c>
      <c r="C9" s="2" t="str">
        <f>VLOOKUP(B9,Sayfa2!A:G,7,0)</f>
        <v>1038</v>
      </c>
      <c r="D9" s="2" t="str">
        <f>VLOOKUP(B9,Sayfa2!A:H,8,0)</f>
        <v>138</v>
      </c>
      <c r="E9" s="2" t="str">
        <f>VLOOKUP(B9,Sayfa2!A:I,9,0)</f>
        <v>10001038</v>
      </c>
      <c r="F9" s="2" t="str">
        <f>VLOOKUP(B9,Sayfa2!A:J,10,0)</f>
        <v>1038-01</v>
      </c>
      <c r="G9" s="13">
        <f t="shared" si="1"/>
        <v>702003</v>
      </c>
      <c r="H9" s="14" t="str">
        <f>VLOOKUP(B9,Sayfa2!A:K,11,0)</f>
        <v>IS MAKINE</v>
      </c>
      <c r="I9" s="14" t="str">
        <f>VLOOKUP(B9,Sayfa2!A:N,13,0)</f>
        <v>BEKO LOADER HIDROMEK HMK 102S</v>
      </c>
      <c r="J9" s="14" t="str">
        <f>VLOOKUP(B9,Sayfa2!A:AI,35,0)</f>
        <v>NM75147U160838W</v>
      </c>
      <c r="K9" s="14" t="str">
        <f>VLOOKUP(B9,Sayfa2!A:U,21,0)</f>
        <v>B334307</v>
      </c>
      <c r="L9" s="15" t="str">
        <f>VLOOKUP(B9,Sayfa2!A:U,21,0)</f>
        <v>B334307</v>
      </c>
    </row>
    <row r="10" spans="1:12" ht="28.2" thickBot="1">
      <c r="A10" s="1" t="str">
        <f>VLOOKUP(B10,Sayfa2!A:O,15,0)</f>
        <v>34.00.20.3282</v>
      </c>
      <c r="B10" s="13" t="str">
        <f>Sayfa2!A11</f>
        <v>BKL-021</v>
      </c>
      <c r="C10" s="2" t="str">
        <f>VLOOKUP(B10,Sayfa2!A:G,7,0)</f>
        <v>1035</v>
      </c>
      <c r="D10" s="2" t="str">
        <f>VLOOKUP(B10,Sayfa2!A:H,8,0)</f>
        <v>135</v>
      </c>
      <c r="E10" s="2" t="str">
        <f>VLOOKUP(B10,Sayfa2!A:I,9,0)</f>
        <v>10001035</v>
      </c>
      <c r="F10" s="2" t="str">
        <f>VLOOKUP(B10,Sayfa2!A:J,10,0)</f>
        <v>1035-01</v>
      </c>
      <c r="G10" s="13">
        <f t="shared" si="1"/>
        <v>702003</v>
      </c>
      <c r="H10" s="14" t="str">
        <f>VLOOKUP(B10,Sayfa2!A:K,11,0)</f>
        <v>IS MAKINE</v>
      </c>
      <c r="I10" s="14" t="str">
        <f>VLOOKUP(B10,Sayfa2!A:N,13,0)</f>
        <v>BEKO LOADER HIDROMEK HMK 102S</v>
      </c>
      <c r="J10" s="14" t="str">
        <f>VLOOKUP(B10,Sayfa2!A:AI,35,0)</f>
        <v>NM75621U331888F</v>
      </c>
      <c r="K10" s="14" t="str">
        <f>VLOOKUP(B10,Sayfa2!A:U,21,0)</f>
        <v>B352494</v>
      </c>
      <c r="L10" s="15" t="str">
        <f>VLOOKUP(B10,Sayfa2!A:U,21,0)</f>
        <v>B352494</v>
      </c>
    </row>
    <row r="11" spans="1:12" ht="28.2" thickBot="1">
      <c r="A11" s="1" t="str">
        <f>VLOOKUP(B11,Sayfa2!A:O,15,0)</f>
        <v>34.00.20.9034.</v>
      </c>
      <c r="B11" s="13" t="str">
        <f>Sayfa2!A12</f>
        <v>BTF-001</v>
      </c>
      <c r="C11" s="2" t="str">
        <f>VLOOKUP(B11,Sayfa2!A:G,7,0)</f>
        <v>1038</v>
      </c>
      <c r="D11" s="2" t="str">
        <f>VLOOKUP(B11,Sayfa2!A:H,8,0)</f>
        <v>138</v>
      </c>
      <c r="E11" s="2" t="str">
        <f>VLOOKUP(B11,Sayfa2!A:I,9,0)</f>
        <v>10001038</v>
      </c>
      <c r="F11" s="2" t="str">
        <f>VLOOKUP(B11,Sayfa2!A:J,10,0)</f>
        <v>1038-01</v>
      </c>
      <c r="G11" s="13">
        <f t="shared" si="1"/>
        <v>702003</v>
      </c>
      <c r="H11" s="14" t="str">
        <f>VLOOKUP(B11,Sayfa2!A:K,11,0)</f>
        <v>IS MAKINE</v>
      </c>
      <c r="I11" s="14" t="str">
        <f>VLOOKUP(B11,Sayfa2!A:N,13,0)</f>
        <v>BETON FINISHERI POWER CURBER  5700-D</v>
      </c>
      <c r="J11" s="14" t="str">
        <f>VLOOKUP(B11,Sayfa2!A:AI,35,0)</f>
        <v>746271167</v>
      </c>
      <c r="K11" s="14" t="str">
        <f>VLOOKUP(B11,Sayfa2!A:U,21,0)</f>
        <v>B438027</v>
      </c>
      <c r="L11" s="15" t="str">
        <f>VLOOKUP(B11,Sayfa2!A:U,21,0)</f>
        <v>B438027</v>
      </c>
    </row>
    <row r="12" spans="1:12" ht="15" thickBot="1">
      <c r="A12" s="1" t="str">
        <f>VLOOKUP(B12,Sayfa2!A:O,15,0)</f>
        <v>34.00.13.5612</v>
      </c>
      <c r="B12" s="13" t="str">
        <f>Sayfa2!A13</f>
        <v>DZR-001</v>
      </c>
      <c r="C12" s="2" t="str">
        <f>VLOOKUP(B12,Sayfa2!A:G,7,0)</f>
        <v>1038</v>
      </c>
      <c r="D12" s="2" t="str">
        <f>VLOOKUP(B12,Sayfa2!A:H,8,0)</f>
        <v>138</v>
      </c>
      <c r="E12" s="2" t="str">
        <f>VLOOKUP(B12,Sayfa2!A:I,9,0)</f>
        <v>10001038</v>
      </c>
      <c r="F12" s="2" t="str">
        <f>VLOOKUP(B12,Sayfa2!A:J,10,0)</f>
        <v>1038-01</v>
      </c>
      <c r="G12" s="13">
        <f t="shared" si="1"/>
        <v>702003</v>
      </c>
      <c r="H12" s="14" t="str">
        <f>VLOOKUP(B12,Sayfa2!A:K,11,0)</f>
        <v>IS MAKINE</v>
      </c>
      <c r="I12" s="14" t="str">
        <f>VLOOKUP(B12,Sayfa2!A:N,13,0)</f>
        <v>DOZER KOMATSU D155AX-6</v>
      </c>
      <c r="J12" s="14" t="str">
        <f>VLOOKUP(B12,Sayfa2!A:AI,35,0)</f>
        <v>538159</v>
      </c>
      <c r="K12" s="14" t="str">
        <f>VLOOKUP(B12,Sayfa2!A:U,21,0)</f>
        <v>A645806</v>
      </c>
      <c r="L12" s="15" t="str">
        <f>VLOOKUP(B12,Sayfa2!A:U,21,0)</f>
        <v>A645806</v>
      </c>
    </row>
    <row r="13" spans="1:12" ht="15" thickBot="1">
      <c r="A13" s="1" t="str">
        <f>VLOOKUP(B13,Sayfa2!A:O,15,0)</f>
        <v>34.00.16.22897</v>
      </c>
      <c r="B13" s="13" t="str">
        <f>Sayfa2!A14</f>
        <v>DZR-002</v>
      </c>
      <c r="C13" s="2" t="str">
        <f>VLOOKUP(B13,Sayfa2!A:G,7,0)</f>
        <v>1035</v>
      </c>
      <c r="D13" s="2" t="str">
        <f>VLOOKUP(B13,Sayfa2!A:H,8,0)</f>
        <v>135</v>
      </c>
      <c r="E13" s="2" t="str">
        <f>VLOOKUP(B13,Sayfa2!A:I,9,0)</f>
        <v>10001035</v>
      </c>
      <c r="F13" s="2" t="str">
        <f>VLOOKUP(B13,Sayfa2!A:J,10,0)</f>
        <v>1035-01</v>
      </c>
      <c r="G13" s="13">
        <f t="shared" si="1"/>
        <v>702003</v>
      </c>
      <c r="H13" s="14" t="str">
        <f>VLOOKUP(B13,Sayfa2!A:K,11,0)</f>
        <v>IS MAKINE</v>
      </c>
      <c r="I13" s="14" t="str">
        <f>VLOOKUP(B13,Sayfa2!A:N,13,0)</f>
        <v>DOZER CATERPILLAR D7-R2</v>
      </c>
      <c r="J13" s="14" t="str">
        <f>VLOOKUP(B13,Sayfa2!A:AI,35,0)</f>
        <v>7ZR26598</v>
      </c>
      <c r="K13" s="14" t="str">
        <f>VLOOKUP(B13,Sayfa2!A:U,21,0)</f>
        <v>A619619</v>
      </c>
      <c r="L13" s="15" t="str">
        <f>VLOOKUP(B13,Sayfa2!A:U,21,0)</f>
        <v>A619619</v>
      </c>
    </row>
    <row r="14" spans="1:12" ht="15" thickBot="1">
      <c r="A14" s="1" t="str">
        <f>VLOOKUP(B14,Sayfa2!A:O,15,0)</f>
        <v>34.00.19.12152</v>
      </c>
      <c r="B14" s="13" t="str">
        <f>Sayfa2!A15</f>
        <v>DZR-004</v>
      </c>
      <c r="C14" s="2" t="str">
        <f>VLOOKUP(B14,Sayfa2!A:G,7,0)</f>
        <v>1038</v>
      </c>
      <c r="D14" s="2" t="str">
        <f>VLOOKUP(B14,Sayfa2!A:H,8,0)</f>
        <v>138</v>
      </c>
      <c r="E14" s="2" t="str">
        <f>VLOOKUP(B14,Sayfa2!A:I,9,0)</f>
        <v>10001038</v>
      </c>
      <c r="F14" s="2" t="str">
        <f>VLOOKUP(B14,Sayfa2!A:J,10,0)</f>
        <v>1038-01</v>
      </c>
      <c r="G14" s="13">
        <f>IF(H14="BINEKARAC", 702001, IF(H14="CEKICI", 702002, IF(H14="KAMYON GRP", 702002, IF(H14="SERVISARAC", 702002, IF(H14="KAMYONET", 702011, 702003)))))</f>
        <v>702003</v>
      </c>
      <c r="H14" s="14" t="str">
        <f>VLOOKUP(B14,Sayfa2!A:K,11,0)</f>
        <v>IS MAKINE</v>
      </c>
      <c r="I14" s="14" t="str">
        <f>VLOOKUP(B14,Sayfa2!A:N,13,0)</f>
        <v>DOZER KOMATSU D155AX-6</v>
      </c>
      <c r="J14" s="14" t="str">
        <f>VLOOKUP(B14,Sayfa2!A:AI,35,0)</f>
        <v>542581</v>
      </c>
      <c r="K14" s="14" t="str">
        <f>VLOOKUP(B14,Sayfa2!A:U,21,0)</f>
        <v>B359952</v>
      </c>
      <c r="L14" s="15" t="str">
        <f>VLOOKUP(B14,Sayfa2!A:U,21,0)</f>
        <v>B359952</v>
      </c>
    </row>
    <row r="15" spans="1:12" ht="15" thickBot="1">
      <c r="A15" s="1" t="str">
        <f>VLOOKUP(B15,Sayfa2!A:O,15,0)</f>
        <v>34.00.17.5310</v>
      </c>
      <c r="B15" s="13" t="str">
        <f>Sayfa2!A16</f>
        <v>EKS-011</v>
      </c>
      <c r="C15" s="2" t="str">
        <f>VLOOKUP(B15,Sayfa2!A:G,7,0)</f>
        <v>1038</v>
      </c>
      <c r="D15" s="2" t="str">
        <f>VLOOKUP(B15,Sayfa2!A:H,8,0)</f>
        <v>138</v>
      </c>
      <c r="E15" s="2" t="str">
        <f>VLOOKUP(B15,Sayfa2!A:I,9,0)</f>
        <v>10001038</v>
      </c>
      <c r="F15" s="2" t="str">
        <f>VLOOKUP(B15,Sayfa2!A:J,10,0)</f>
        <v>1038-01</v>
      </c>
      <c r="G15" s="13">
        <f t="shared" si="1"/>
        <v>702003</v>
      </c>
      <c r="H15" s="14" t="str">
        <f>VLOOKUP(B15,Sayfa2!A:K,11,0)</f>
        <v>IS MAKINE</v>
      </c>
      <c r="I15" s="14" t="str">
        <f>VLOOKUP(B15,Sayfa2!A:N,13,0)</f>
        <v>EKSCAVATOR HITACHI ZX 490 H-5A</v>
      </c>
      <c r="J15" s="14" t="str">
        <f>VLOOKUP(B15,Sayfa2!A:AI,35,0)</f>
        <v>527895</v>
      </c>
      <c r="K15" s="14" t="str">
        <f>VLOOKUP(B15,Sayfa2!A:U,21,0)</f>
        <v>B439613</v>
      </c>
      <c r="L15" s="15" t="str">
        <f>VLOOKUP(B15,Sayfa2!A:U,21,0)</f>
        <v>B439613</v>
      </c>
    </row>
    <row r="16" spans="1:12" ht="15" thickBot="1">
      <c r="A16" s="1" t="str">
        <f>VLOOKUP(B16,Sayfa2!A:O,15,0)</f>
        <v>34.00.17.5313</v>
      </c>
      <c r="B16" s="13" t="str">
        <f>Sayfa2!A17</f>
        <v>EKS-013</v>
      </c>
      <c r="C16" s="2" t="str">
        <f>VLOOKUP(B16,Sayfa2!A:G,7,0)</f>
        <v>1035</v>
      </c>
      <c r="D16" s="2" t="str">
        <f>VLOOKUP(B16,Sayfa2!A:H,8,0)</f>
        <v>135</v>
      </c>
      <c r="E16" s="2" t="str">
        <f>VLOOKUP(B16,Sayfa2!A:I,9,0)</f>
        <v>10001035</v>
      </c>
      <c r="F16" s="2" t="str">
        <f>VLOOKUP(B16,Sayfa2!A:J,10,0)</f>
        <v>1035-01</v>
      </c>
      <c r="G16" s="13">
        <f t="shared" si="1"/>
        <v>702003</v>
      </c>
      <c r="H16" s="14" t="str">
        <f>VLOOKUP(B16,Sayfa2!A:K,11,0)</f>
        <v>IS MAKINE</v>
      </c>
      <c r="I16" s="14" t="str">
        <f>VLOOKUP(B16,Sayfa2!A:N,13,0)</f>
        <v>EKSCAVATOR HITACHI ZX 210 H-5A</v>
      </c>
      <c r="J16" s="14" t="str">
        <f>VLOOKUP(B16,Sayfa2!A:AI,35,0)</f>
        <v>747628</v>
      </c>
      <c r="K16" s="14" t="str">
        <f>VLOOKUP(B16,Sayfa2!A:U,21,0)</f>
        <v>B321974</v>
      </c>
      <c r="L16" s="15" t="str">
        <f>VLOOKUP(B16,Sayfa2!A:U,21,0)</f>
        <v>B321974</v>
      </c>
    </row>
    <row r="17" spans="1:12" ht="15" thickBot="1">
      <c r="A17" s="1" t="str">
        <f>VLOOKUP(B17,Sayfa2!A:O,15,0)</f>
        <v>34.00.23.12753</v>
      </c>
      <c r="B17" s="13" t="str">
        <f>Sayfa2!A18</f>
        <v>FRK-005</v>
      </c>
      <c r="C17" s="2" t="str">
        <f>VLOOKUP(B17,Sayfa2!A:G,7,0)</f>
        <v>1035</v>
      </c>
      <c r="D17" s="2" t="str">
        <f>VLOOKUP(B17,Sayfa2!A:H,8,0)</f>
        <v>135</v>
      </c>
      <c r="E17" s="2" t="str">
        <f>VLOOKUP(B17,Sayfa2!A:I,9,0)</f>
        <v>10001035</v>
      </c>
      <c r="F17" s="2" t="str">
        <f>VLOOKUP(B17,Sayfa2!A:J,10,0)</f>
        <v>1035-01</v>
      </c>
      <c r="G17" s="13">
        <f t="shared" si="1"/>
        <v>702003</v>
      </c>
      <c r="H17" s="14" t="str">
        <f>VLOOKUP(B17,Sayfa2!A:K,11,0)</f>
        <v>IS MAKINE</v>
      </c>
      <c r="I17" s="14" t="str">
        <f>VLOOKUP(B17,Sayfa2!A:N,13,0)</f>
        <v>FORKLIFT JCB TELEHANDLER</v>
      </c>
      <c r="J17" s="14" t="str">
        <f>VLOOKUP(B17,Sayfa2!A:AI,35,0)</f>
        <v>41840U1129223</v>
      </c>
      <c r="K17" s="14" t="str">
        <f>VLOOKUP(B17,Sayfa2!A:U,21,0)</f>
        <v>B352498</v>
      </c>
      <c r="L17" s="15" t="str">
        <f>VLOOKUP(B17,Sayfa2!A:U,21,0)</f>
        <v>B352498</v>
      </c>
    </row>
    <row r="18" spans="1:12" ht="15" thickBot="1">
      <c r="A18" s="1" t="str">
        <f>VLOOKUP(B18,Sayfa2!A:O,15,0)</f>
        <v>34.00.13.3087</v>
      </c>
      <c r="B18" s="13" t="str">
        <f>Sayfa2!A19</f>
        <v>GRY-009</v>
      </c>
      <c r="C18" s="2" t="str">
        <f>VLOOKUP(B18,Sayfa2!A:G,7,0)</f>
        <v>1035</v>
      </c>
      <c r="D18" s="2" t="str">
        <f>VLOOKUP(B18,Sayfa2!A:H,8,0)</f>
        <v>135</v>
      </c>
      <c r="E18" s="2" t="str">
        <f>VLOOKUP(B18,Sayfa2!A:I,9,0)</f>
        <v>10001035</v>
      </c>
      <c r="F18" s="2" t="str">
        <f>VLOOKUP(B18,Sayfa2!A:J,10,0)</f>
        <v>1035-01</v>
      </c>
      <c r="G18" s="13">
        <f t="shared" si="1"/>
        <v>702003</v>
      </c>
      <c r="H18" s="14" t="str">
        <f>VLOOKUP(B18,Sayfa2!A:K,11,0)</f>
        <v>IS MAKINE</v>
      </c>
      <c r="I18" s="14" t="str">
        <f>VLOOKUP(B18,Sayfa2!A:N,13,0)</f>
        <v>GREYDER CATERPILLAR 12 H</v>
      </c>
      <c r="J18" s="14" t="str">
        <f>VLOOKUP(B18,Sayfa2!A:AI,35,0)</f>
        <v>6NC17431</v>
      </c>
      <c r="K18" s="14" t="str">
        <f>VLOOKUP(B18,Sayfa2!A:U,21,0)</f>
        <v>A582318</v>
      </c>
      <c r="L18" s="15" t="str">
        <f>VLOOKUP(B18,Sayfa2!A:U,21,0)</f>
        <v>A582318</v>
      </c>
    </row>
    <row r="19" spans="1:12" ht="15" thickBot="1">
      <c r="A19" s="1" t="str">
        <f>VLOOKUP(B19,Sayfa2!A:O,15,0)</f>
        <v>34.00.11.3626</v>
      </c>
      <c r="B19" s="13" t="str">
        <f>Sayfa2!A20</f>
        <v>GRY-010</v>
      </c>
      <c r="C19" s="2" t="str">
        <f>VLOOKUP(B19,Sayfa2!A:G,7,0)</f>
        <v>1038</v>
      </c>
      <c r="D19" s="2" t="str">
        <f>VLOOKUP(B19,Sayfa2!A:H,8,0)</f>
        <v>138</v>
      </c>
      <c r="E19" s="2" t="str">
        <f>VLOOKUP(B19,Sayfa2!A:I,9,0)</f>
        <v>10001038</v>
      </c>
      <c r="F19" s="2" t="str">
        <f>VLOOKUP(B19,Sayfa2!A:J,10,0)</f>
        <v>1038-01</v>
      </c>
      <c r="G19" s="13">
        <f t="shared" si="1"/>
        <v>702003</v>
      </c>
      <c r="H19" s="14" t="str">
        <f>VLOOKUP(B19,Sayfa2!A:K,11,0)</f>
        <v>IS MAKINE</v>
      </c>
      <c r="I19" s="14" t="str">
        <f>VLOOKUP(B19,Sayfa2!A:N,13,0)</f>
        <v>GREYDER CATERPILLAR 12 H</v>
      </c>
      <c r="J19" s="14" t="str">
        <f>VLOOKUP(B19,Sayfa2!A:AI,35,0)</f>
        <v>4ZF18367</v>
      </c>
      <c r="K19" s="14" t="str">
        <f>VLOOKUP(B19,Sayfa2!A:U,21,0)</f>
        <v>A412128</v>
      </c>
      <c r="L19" s="15" t="str">
        <f>VLOOKUP(B19,Sayfa2!A:U,21,0)</f>
        <v>A412128</v>
      </c>
    </row>
    <row r="20" spans="1:12" ht="15" thickBot="1">
      <c r="A20" s="1" t="str">
        <f>VLOOKUP(B20,Sayfa2!A:O,15,0)</f>
        <v>34.00.11.4461</v>
      </c>
      <c r="B20" s="13" t="str">
        <f>Sayfa2!A21</f>
        <v>KIR-906</v>
      </c>
      <c r="C20" s="2" t="str">
        <f>VLOOKUP(B20,Sayfa2!A:G,7,0)</f>
        <v>1035</v>
      </c>
      <c r="D20" s="2" t="str">
        <f>VLOOKUP(B20,Sayfa2!A:H,8,0)</f>
        <v>135</v>
      </c>
      <c r="E20" s="2" t="str">
        <f>VLOOKUP(B20,Sayfa2!A:I,9,0)</f>
        <v>10001035</v>
      </c>
      <c r="F20" s="2" t="str">
        <f>VLOOKUP(B20,Sayfa2!A:J,10,0)</f>
        <v>1035-01</v>
      </c>
      <c r="G20" s="13">
        <f t="shared" si="1"/>
        <v>702003</v>
      </c>
      <c r="H20" s="14" t="str">
        <f>VLOOKUP(B20,Sayfa2!A:K,11,0)</f>
        <v>IS MAKINE</v>
      </c>
      <c r="I20" s="14" t="str">
        <f>VLOOKUP(B20,Sayfa2!A:N,13,0)</f>
        <v>EKSCAVATOR CATERPILLAR 336 D</v>
      </c>
      <c r="J20" s="14" t="str">
        <f>VLOOKUP(B20,Sayfa2!A:AI,35,0)</f>
        <v/>
      </c>
      <c r="K20" s="14" t="str">
        <f>VLOOKUP(B20,Sayfa2!A:U,21,0)</f>
        <v/>
      </c>
      <c r="L20" s="15" t="str">
        <f>VLOOKUP(B20,Sayfa2!A:U,21,0)</f>
        <v/>
      </c>
    </row>
    <row r="21" spans="1:12" ht="15" thickBot="1">
      <c r="A21" s="1" t="str">
        <f>VLOOKUP(B21,Sayfa2!A:O,15,0)</f>
        <v/>
      </c>
      <c r="B21" s="13" t="str">
        <f>Sayfa2!A22</f>
        <v>KIR-989</v>
      </c>
      <c r="C21" s="2" t="str">
        <f>VLOOKUP(B21,Sayfa2!A:G,7,0)</f>
        <v>1035</v>
      </c>
      <c r="D21" s="2" t="str">
        <f>VLOOKUP(B21,Sayfa2!A:H,8,0)</f>
        <v>135</v>
      </c>
      <c r="E21" s="2" t="str">
        <f>VLOOKUP(B21,Sayfa2!A:I,9,0)</f>
        <v>10001035</v>
      </c>
      <c r="F21" s="2" t="str">
        <f>VLOOKUP(B21,Sayfa2!A:J,10,0)</f>
        <v>1035-01</v>
      </c>
      <c r="G21" s="13">
        <f t="shared" si="1"/>
        <v>702003</v>
      </c>
      <c r="H21" s="14" t="str">
        <f>VLOOKUP(B21,Sayfa2!A:K,11,0)</f>
        <v>IS MAKINE</v>
      </c>
      <c r="I21" s="14" t="str">
        <f>VLOOKUP(B21,Sayfa2!A:N,13,0)</f>
        <v>EKSCAVATOR HITACHI ZX490LCH-5A</v>
      </c>
      <c r="J21" s="14" t="str">
        <f>VLOOKUP(B21,Sayfa2!A:AI,35,0)</f>
        <v/>
      </c>
      <c r="K21" s="14" t="str">
        <f>VLOOKUP(B21,Sayfa2!A:U,21,0)</f>
        <v/>
      </c>
      <c r="L21" s="15" t="str">
        <f>VLOOKUP(B21,Sayfa2!A:U,21,0)</f>
        <v/>
      </c>
    </row>
    <row r="22" spans="1:12" ht="28.2" thickBot="1">
      <c r="A22" s="1" t="str">
        <f>VLOOKUP(B22,Sayfa2!A:O,15,0)</f>
        <v>34.00.23.26389</v>
      </c>
      <c r="B22" s="13" t="str">
        <f>Sayfa2!A23</f>
        <v>LEKS-004</v>
      </c>
      <c r="C22" s="2" t="str">
        <f>VLOOKUP(B22,Sayfa2!A:G,7,0)</f>
        <v>1038</v>
      </c>
      <c r="D22" s="2" t="str">
        <f>VLOOKUP(B22,Sayfa2!A:H,8,0)</f>
        <v>138</v>
      </c>
      <c r="E22" s="2" t="str">
        <f>VLOOKUP(B22,Sayfa2!A:I,9,0)</f>
        <v>10001038</v>
      </c>
      <c r="F22" s="2" t="str">
        <f>VLOOKUP(B22,Sayfa2!A:J,10,0)</f>
        <v>1038-01</v>
      </c>
      <c r="G22" s="13">
        <f t="shared" si="1"/>
        <v>702003</v>
      </c>
      <c r="H22" s="14" t="str">
        <f>VLOOKUP(B22,Sayfa2!A:K,11,0)</f>
        <v>IS MAKINE</v>
      </c>
      <c r="I22" s="14" t="str">
        <f>VLOOKUP(B22,Sayfa2!A:N,13,0)</f>
        <v>LASTİKLİ EKSCAVATOR HİDROMEK 210W-5</v>
      </c>
      <c r="J22" s="14" t="str">
        <f>VLOOKUP(B22,Sayfa2!A:AI,35,0)</f>
        <v>864694</v>
      </c>
      <c r="K22" s="14" t="str">
        <f>VLOOKUP(B22,Sayfa2!A:U,21,0)</f>
        <v>B398363</v>
      </c>
      <c r="L22" s="15" t="str">
        <f>VLOOKUP(B22,Sayfa2!A:U,21,0)</f>
        <v>B398363</v>
      </c>
    </row>
    <row r="23" spans="1:12" ht="28.2" thickBot="1">
      <c r="A23" s="1" t="str">
        <f>VLOOKUP(B23,Sayfa2!A:O,15,0)</f>
        <v>34.00.17.13704</v>
      </c>
      <c r="B23" s="13" t="str">
        <f>Sayfa2!A24</f>
        <v>LSY-001</v>
      </c>
      <c r="C23" s="2" t="str">
        <f>VLOOKUP(B23,Sayfa2!A:G,7,0)</f>
        <v>1038</v>
      </c>
      <c r="D23" s="2" t="str">
        <f>VLOOKUP(B23,Sayfa2!A:H,8,0)</f>
        <v>138</v>
      </c>
      <c r="E23" s="2" t="str">
        <f>VLOOKUP(B23,Sayfa2!A:I,9,0)</f>
        <v>10001038</v>
      </c>
      <c r="F23" s="2" t="str">
        <f>VLOOKUP(B23,Sayfa2!A:J,10,0)</f>
        <v>1038-01</v>
      </c>
      <c r="G23" s="13">
        <f t="shared" si="1"/>
        <v>702003</v>
      </c>
      <c r="H23" s="14" t="str">
        <f>VLOOKUP(B23,Sayfa2!A:K,11,0)</f>
        <v>IS MAKINE</v>
      </c>
      <c r="I23" s="14" t="str">
        <f>VLOOKUP(B23,Sayfa2!A:N,13,0)</f>
        <v>LASTİKLİ YÜKLEYİCİ CATERPILLAR 950 GC</v>
      </c>
      <c r="J23" s="14" t="str">
        <f>VLOOKUP(B23,Sayfa2!A:AI,35,0)</f>
        <v>E7A05139</v>
      </c>
      <c r="K23" s="14" t="str">
        <f>VLOOKUP(B23,Sayfa2!A:U,21,0)</f>
        <v>A489379</v>
      </c>
      <c r="L23" s="15" t="str">
        <f>VLOOKUP(B23,Sayfa2!A:U,21,0)</f>
        <v>A489379</v>
      </c>
    </row>
    <row r="24" spans="1:12" ht="28.2" thickBot="1">
      <c r="A24" s="1" t="str">
        <f>VLOOKUP(B24,Sayfa2!A:O,15,0)</f>
        <v>34.00.18.8856</v>
      </c>
      <c r="B24" s="13" t="str">
        <f>Sayfa2!A25</f>
        <v>LSY-003</v>
      </c>
      <c r="C24" s="2" t="str">
        <f>VLOOKUP(B24,Sayfa2!A:G,7,0)</f>
        <v>1035</v>
      </c>
      <c r="D24" s="2" t="str">
        <f>VLOOKUP(B24,Sayfa2!A:H,8,0)</f>
        <v>135</v>
      </c>
      <c r="E24" s="2" t="str">
        <f>VLOOKUP(B24,Sayfa2!A:I,9,0)</f>
        <v>10001035</v>
      </c>
      <c r="F24" s="2" t="str">
        <f>VLOOKUP(B24,Sayfa2!A:J,10,0)</f>
        <v>1035-01</v>
      </c>
      <c r="G24" s="13">
        <f t="shared" si="1"/>
        <v>702003</v>
      </c>
      <c r="H24" s="14" t="str">
        <f>VLOOKUP(B24,Sayfa2!A:K,11,0)</f>
        <v>IS MAKINE</v>
      </c>
      <c r="I24" s="14" t="str">
        <f>VLOOKUP(B24,Sayfa2!A:N,13,0)</f>
        <v>LASTİKLİ YÜKLEYİCİ KOMATSU WA380-3 T3 A</v>
      </c>
      <c r="J24" s="14" t="str">
        <f>VLOOKUP(B24,Sayfa2!A:AI,35,0)</f>
        <v>26680299</v>
      </c>
      <c r="K24" s="14" t="str">
        <f>VLOOKUP(B24,Sayfa2!A:U,21,0)</f>
        <v>B319167</v>
      </c>
      <c r="L24" s="15" t="str">
        <f>VLOOKUP(B24,Sayfa2!A:U,21,0)</f>
        <v>B319167</v>
      </c>
    </row>
    <row r="25" spans="1:12" ht="15" thickBot="1">
      <c r="A25" s="1" t="str">
        <f>VLOOKUP(B25,Sayfa2!A:O,15,0)</f>
        <v>34.00.16.21270</v>
      </c>
      <c r="B25" s="13" t="str">
        <f>Sayfa2!A26</f>
        <v>LSY-008</v>
      </c>
      <c r="C25" s="2" t="str">
        <f>VLOOKUP(B25,Sayfa2!A:G,7,0)</f>
        <v>1035</v>
      </c>
      <c r="D25" s="2" t="str">
        <f>VLOOKUP(B25,Sayfa2!A:H,8,0)</f>
        <v>135</v>
      </c>
      <c r="E25" s="2" t="str">
        <f>VLOOKUP(B25,Sayfa2!A:I,9,0)</f>
        <v>10001035</v>
      </c>
      <c r="F25" s="2" t="str">
        <f>VLOOKUP(B25,Sayfa2!A:J,10,0)</f>
        <v>1035-01</v>
      </c>
      <c r="G25" s="13">
        <f t="shared" si="1"/>
        <v>702003</v>
      </c>
      <c r="H25" s="14" t="str">
        <f>VLOOKUP(B25,Sayfa2!A:K,11,0)</f>
        <v>IS MAKINE</v>
      </c>
      <c r="I25" s="14" t="str">
        <f>VLOOKUP(B25,Sayfa2!A:N,13,0)</f>
        <v>LASTİKLİ YÜKLEYİCİ KAWASAKI 90Z6</v>
      </c>
      <c r="J25" s="14" t="str">
        <f>VLOOKUP(B25,Sayfa2!A:AI,35,0)</f>
        <v>35337278</v>
      </c>
      <c r="K25" s="14" t="str">
        <f>VLOOKUP(B25,Sayfa2!A:U,21,0)</f>
        <v>B321959</v>
      </c>
      <c r="L25" s="15" t="str">
        <f>VLOOKUP(B25,Sayfa2!A:U,21,0)</f>
        <v>B321959</v>
      </c>
    </row>
    <row r="26" spans="1:12" ht="28.2" thickBot="1">
      <c r="A26" s="1" t="str">
        <f>VLOOKUP(B26,Sayfa2!A:O,15,0)</f>
        <v>34.00.15.4767</v>
      </c>
      <c r="B26" s="13" t="str">
        <f>Sayfa2!A27</f>
        <v>MNY-005</v>
      </c>
      <c r="C26" s="2" t="str">
        <f>VLOOKUP(B26,Sayfa2!A:G,7,0)</f>
        <v>1035</v>
      </c>
      <c r="D26" s="2" t="str">
        <f>VLOOKUP(B26,Sayfa2!A:H,8,0)</f>
        <v>135</v>
      </c>
      <c r="E26" s="2" t="str">
        <f>VLOOKUP(B26,Sayfa2!A:I,9,0)</f>
        <v>10001035</v>
      </c>
      <c r="F26" s="2" t="str">
        <f>VLOOKUP(B26,Sayfa2!A:J,10,0)</f>
        <v>1035-01</v>
      </c>
      <c r="G26" s="13">
        <f t="shared" si="1"/>
        <v>702003</v>
      </c>
      <c r="H26" s="14" t="str">
        <f>VLOOKUP(B26,Sayfa2!A:K,11,0)</f>
        <v>IS MAKINE</v>
      </c>
      <c r="I26" s="14" t="str">
        <f>VLOOKUP(B26,Sayfa2!A:N,13,0)</f>
        <v>MİNİ YÜKLEYİCİ MUSTANG SL 2076 DXT</v>
      </c>
      <c r="J26" s="14" t="str">
        <f>VLOOKUP(B26,Sayfa2!A:AI,35,0)</f>
        <v>H8825</v>
      </c>
      <c r="K26" s="14" t="str">
        <f>VLOOKUP(B26,Sayfa2!A:U,21,0)</f>
        <v>A610274</v>
      </c>
      <c r="L26" s="15" t="str">
        <f>VLOOKUP(B26,Sayfa2!A:U,21,0)</f>
        <v>A610274</v>
      </c>
    </row>
    <row r="27" spans="1:12" ht="28.2" thickBot="1">
      <c r="A27" s="1" t="str">
        <f>VLOOKUP(B27,Sayfa2!A:O,15,0)</f>
        <v>34.00.17.6419</v>
      </c>
      <c r="B27" s="13" t="str">
        <f>Sayfa2!A28</f>
        <v>TSL-003</v>
      </c>
      <c r="C27" s="2" t="str">
        <f>VLOOKUP(B27,Sayfa2!A:G,7,0)</f>
        <v>1035</v>
      </c>
      <c r="D27" s="2" t="str">
        <f>VLOOKUP(B27,Sayfa2!A:H,8,0)</f>
        <v>135</v>
      </c>
      <c r="E27" s="2" t="str">
        <f>VLOOKUP(B27,Sayfa2!A:I,9,0)</f>
        <v>10001035</v>
      </c>
      <c r="F27" s="2" t="str">
        <f>VLOOKUP(B27,Sayfa2!A:J,10,0)</f>
        <v>1035-01</v>
      </c>
      <c r="G27" s="13">
        <f t="shared" si="1"/>
        <v>702003</v>
      </c>
      <c r="H27" s="14" t="str">
        <f>VLOOKUP(B27,Sayfa2!A:K,11,0)</f>
        <v>IS MAKINE</v>
      </c>
      <c r="I27" s="14" t="str">
        <f>VLOOKUP(B27,Sayfa2!A:N,13,0)</f>
        <v>TOPRAK SİLİNDİRİ BOMAG BW 213 D-5</v>
      </c>
      <c r="J27" s="14" t="str">
        <f>VLOOKUP(B27,Sayfa2!A:AI,35,0)</f>
        <v>11995399</v>
      </c>
      <c r="K27" s="14" t="str">
        <f>VLOOKUP(B27,Sayfa2!A:U,21,0)</f>
        <v>B439608</v>
      </c>
      <c r="L27" s="15" t="str">
        <f>VLOOKUP(B27,Sayfa2!A:U,21,0)</f>
        <v>B439608</v>
      </c>
    </row>
    <row r="28" spans="1:12" ht="28.2" thickBot="1">
      <c r="A28" s="1" t="str">
        <f>VLOOKUP(B28,Sayfa2!A:O,15,0)</f>
        <v>34.00.17.22082</v>
      </c>
      <c r="B28" s="13" t="str">
        <f>Sayfa2!A29</f>
        <v>TSL-008</v>
      </c>
      <c r="C28" s="2" t="str">
        <f>VLOOKUP(B28,Sayfa2!A:G,7,0)</f>
        <v>1038</v>
      </c>
      <c r="D28" s="2" t="str">
        <f>VLOOKUP(B28,Sayfa2!A:H,8,0)</f>
        <v>138</v>
      </c>
      <c r="E28" s="2" t="str">
        <f>VLOOKUP(B28,Sayfa2!A:I,9,0)</f>
        <v>10001038</v>
      </c>
      <c r="F28" s="2" t="str">
        <f>VLOOKUP(B28,Sayfa2!A:J,10,0)</f>
        <v>1038-01</v>
      </c>
      <c r="G28" s="13">
        <f t="shared" si="1"/>
        <v>702003</v>
      </c>
      <c r="H28" s="14" t="str">
        <f>VLOOKUP(B28,Sayfa2!A:K,11,0)</f>
        <v>IS MAKINE</v>
      </c>
      <c r="I28" s="14" t="str">
        <f>VLOOKUP(B28,Sayfa2!A:N,13,0)</f>
        <v>TOPRAK SİLİNDİRİ BOMAG BW 216 D-5</v>
      </c>
      <c r="J28" s="14" t="str">
        <f>VLOOKUP(B28,Sayfa2!A:AI,35,0)</f>
        <v>12064512</v>
      </c>
      <c r="K28" s="14" t="str">
        <f>VLOOKUP(B28,Sayfa2!A:U,21,0)</f>
        <v>B334300</v>
      </c>
      <c r="L28" s="15" t="str">
        <f>VLOOKUP(B28,Sayfa2!A:U,21,0)</f>
        <v>B334300</v>
      </c>
    </row>
    <row r="29" spans="1:12" ht="28.2" thickBot="1">
      <c r="A29" s="1" t="str">
        <f>VLOOKUP(B29,Sayfa2!A:O,15,0)</f>
        <v>34.00.20.3985</v>
      </c>
      <c r="B29" s="13" t="str">
        <f>Sayfa2!A30</f>
        <v>TSL-020</v>
      </c>
      <c r="C29" s="2" t="str">
        <f>VLOOKUP(B29,Sayfa2!A:G,7,0)</f>
        <v>1038</v>
      </c>
      <c r="D29" s="2" t="str">
        <f>VLOOKUP(B29,Sayfa2!A:H,8,0)</f>
        <v>138</v>
      </c>
      <c r="E29" s="2" t="str">
        <f>VLOOKUP(B29,Sayfa2!A:I,9,0)</f>
        <v>10001038</v>
      </c>
      <c r="F29" s="2" t="str">
        <f>VLOOKUP(B29,Sayfa2!A:J,10,0)</f>
        <v>1038-01</v>
      </c>
      <c r="G29" s="13">
        <f t="shared" si="1"/>
        <v>702003</v>
      </c>
      <c r="H29" s="14" t="str">
        <f>VLOOKUP(B29,Sayfa2!A:K,11,0)</f>
        <v>IS MAKINE</v>
      </c>
      <c r="I29" s="14" t="str">
        <f>VLOOKUP(B29,Sayfa2!A:N,13,0)</f>
        <v>TOPRAK SİLİNDİRİ BOMAG BW213DH-5</v>
      </c>
      <c r="J29" s="14" t="str">
        <f>VLOOKUP(B29,Sayfa2!A:AI,35,0)</f>
        <v>12403069</v>
      </c>
      <c r="K29" s="14" t="str">
        <f>VLOOKUP(B29,Sayfa2!A:U,21,0)</f>
        <v>B334132</v>
      </c>
      <c r="L29" s="15" t="str">
        <f>VLOOKUP(B29,Sayfa2!A:U,21,0)</f>
        <v>B334132</v>
      </c>
    </row>
    <row r="30" spans="1:12" ht="28.2" thickBot="1">
      <c r="A30" s="1" t="str">
        <f>VLOOKUP(B30,Sayfa2!A:O,15,0)</f>
        <v>WUX916185</v>
      </c>
      <c r="B30" s="13" t="str">
        <f>Sayfa2!A31</f>
        <v>LTW-010</v>
      </c>
      <c r="C30" s="2" t="str">
        <f>VLOOKUP(B30,Sayfa2!A:G,7,0)</f>
        <v>1035</v>
      </c>
      <c r="D30" s="2" t="str">
        <f>VLOOKUP(B30,Sayfa2!A:H,8,0)</f>
        <v>135</v>
      </c>
      <c r="E30" s="2" t="str">
        <f>VLOOKUP(B30,Sayfa2!A:I,9,0)</f>
        <v>10001035</v>
      </c>
      <c r="F30" s="2" t="str">
        <f>VLOOKUP(B30,Sayfa2!A:J,10,0)</f>
        <v>1035-01</v>
      </c>
      <c r="G30" s="13">
        <f t="shared" si="1"/>
        <v>702003</v>
      </c>
      <c r="H30" s="14" t="str">
        <f>VLOOKUP(B30,Sayfa2!A:K,11,0)</f>
        <v>ISIK KULE</v>
      </c>
      <c r="I30" s="14" t="str">
        <f>VLOOKUP(B30,Sayfa2!A:N,13,0)</f>
        <v>AYDINLATMA KULESİ CHICAGO PNEUMATIC</v>
      </c>
      <c r="J30" s="14" t="str">
        <f>VLOOKUP(B30,Sayfa2!A:AI,35,0)</f>
        <v/>
      </c>
      <c r="K30" s="14" t="str">
        <f>VLOOKUP(B30,Sayfa2!A:U,21,0)</f>
        <v/>
      </c>
      <c r="L30" s="15" t="str">
        <f>VLOOKUP(B30,Sayfa2!A:U,21,0)</f>
        <v/>
      </c>
    </row>
    <row r="31" spans="1:12" ht="42" thickBot="1">
      <c r="A31" s="1" t="str">
        <f>VLOOKUP(B31,Sayfa2!A:O,15,0)</f>
        <v>18201141</v>
      </c>
      <c r="B31" s="13" t="str">
        <f>Sayfa2!A32</f>
        <v>LTW-013</v>
      </c>
      <c r="C31" s="2" t="str">
        <f>VLOOKUP(B31,Sayfa2!A:G,7,0)</f>
        <v>1035</v>
      </c>
      <c r="D31" s="2" t="str">
        <f>VLOOKUP(B31,Sayfa2!A:H,8,0)</f>
        <v>135</v>
      </c>
      <c r="E31" s="2" t="str">
        <f>VLOOKUP(B31,Sayfa2!A:I,9,0)</f>
        <v>10001035</v>
      </c>
      <c r="F31" s="2" t="str">
        <f>VLOOKUP(B31,Sayfa2!A:J,10,0)</f>
        <v>1035-01</v>
      </c>
      <c r="G31" s="13">
        <f t="shared" si="1"/>
        <v>702003</v>
      </c>
      <c r="H31" s="14" t="str">
        <f>VLOOKUP(B31,Sayfa2!A:K,11,0)</f>
        <v>ISIK KULE</v>
      </c>
      <c r="I31" s="14" t="str">
        <f>VLOOKUP(B31,Sayfa2!A:N,13,0)</f>
        <v>AYDINLATMA KULESİ WACKER NEUSON 8 KW</v>
      </c>
      <c r="J31" s="14" t="str">
        <f>VLOOKUP(B31,Sayfa2!A:AI,35,0)</f>
        <v>4909501006 (KOHLER KDW1003GE)</v>
      </c>
      <c r="K31" s="14" t="str">
        <f>VLOOKUP(B31,Sayfa2!A:U,21,0)</f>
        <v/>
      </c>
      <c r="L31" s="15" t="str">
        <f>VLOOKUP(B31,Sayfa2!A:U,21,0)</f>
        <v/>
      </c>
    </row>
    <row r="32" spans="1:12" ht="28.2" thickBot="1">
      <c r="A32" s="1" t="str">
        <f>VLOOKUP(B32,Sayfa2!A:O,15,0)</f>
        <v>WUX916188</v>
      </c>
      <c r="B32" s="13" t="str">
        <f>Sayfa2!A33</f>
        <v>LTW-017</v>
      </c>
      <c r="C32" s="2" t="str">
        <f>VLOOKUP(B32,Sayfa2!A:G,7,0)</f>
        <v>1035</v>
      </c>
      <c r="D32" s="2" t="str">
        <f>VLOOKUP(B32,Sayfa2!A:H,8,0)</f>
        <v>135</v>
      </c>
      <c r="E32" s="2" t="str">
        <f>VLOOKUP(B32,Sayfa2!A:I,9,0)</f>
        <v>10001035</v>
      </c>
      <c r="F32" s="2" t="str">
        <f>VLOOKUP(B32,Sayfa2!A:J,10,0)</f>
        <v>1035-01</v>
      </c>
      <c r="G32" s="13">
        <f t="shared" si="1"/>
        <v>702003</v>
      </c>
      <c r="H32" s="14" t="str">
        <f>VLOOKUP(B32,Sayfa2!A:K,11,0)</f>
        <v>ISIK KULE</v>
      </c>
      <c r="I32" s="14" t="str">
        <f>VLOOKUP(B32,Sayfa2!A:N,13,0)</f>
        <v>AYDINLATMA KULESİ CHICAGO PNEUMATIC</v>
      </c>
      <c r="J32" s="14" t="str">
        <f>VLOOKUP(B32,Sayfa2!A:AI,35,0)</f>
        <v/>
      </c>
      <c r="K32" s="14" t="str">
        <f>VLOOKUP(B32,Sayfa2!A:U,21,0)</f>
        <v/>
      </c>
      <c r="L32" s="15" t="str">
        <f>VLOOKUP(B32,Sayfa2!A:U,21,0)</f>
        <v/>
      </c>
    </row>
    <row r="33" spans="1:12" ht="28.2" thickBot="1">
      <c r="A33" s="1" t="str">
        <f>VLOOKUP(B33,Sayfa2!A:O,15,0)</f>
        <v/>
      </c>
      <c r="B33" s="13" t="str">
        <f>Sayfa2!A34</f>
        <v>LTW-026</v>
      </c>
      <c r="C33" s="2" t="str">
        <f>VLOOKUP(B33,Sayfa2!A:G,7,0)</f>
        <v>1038</v>
      </c>
      <c r="D33" s="2" t="str">
        <f>VLOOKUP(B33,Sayfa2!A:H,8,0)</f>
        <v>138</v>
      </c>
      <c r="E33" s="2" t="str">
        <f>VLOOKUP(B33,Sayfa2!A:I,9,0)</f>
        <v>10001038</v>
      </c>
      <c r="F33" s="2" t="str">
        <f>VLOOKUP(B33,Sayfa2!A:J,10,0)</f>
        <v>1038-01</v>
      </c>
      <c r="G33" s="13">
        <f t="shared" si="1"/>
        <v>702003</v>
      </c>
      <c r="H33" s="14" t="str">
        <f>VLOOKUP(B33,Sayfa2!A:K,11,0)</f>
        <v>ISIK KULE</v>
      </c>
      <c r="I33" s="14" t="str">
        <f>VLOOKUP(B33,Sayfa2!A:N,13,0)</f>
        <v>AYDINLATMA KULESİ  ITALTOWER FENIX GEN01</v>
      </c>
      <c r="J33" s="14" t="str">
        <f>VLOOKUP(B33,Sayfa2!A:AI,35,0)</f>
        <v>5326500216</v>
      </c>
      <c r="K33" s="14" t="str">
        <f>VLOOKUP(B33,Sayfa2!A:U,21,0)</f>
        <v/>
      </c>
      <c r="L33" s="15" t="str">
        <f>VLOOKUP(B33,Sayfa2!A:U,21,0)</f>
        <v/>
      </c>
    </row>
    <row r="34" spans="1:12" ht="28.2" thickBot="1">
      <c r="A34" s="1" t="str">
        <f>VLOOKUP(B34,Sayfa2!A:O,15,0)</f>
        <v/>
      </c>
      <c r="B34" s="13" t="str">
        <f>Sayfa2!A35</f>
        <v>LTW-027</v>
      </c>
      <c r="C34" s="2" t="str">
        <f>VLOOKUP(B34,Sayfa2!A:G,7,0)</f>
        <v>1038</v>
      </c>
      <c r="D34" s="2" t="str">
        <f>VLOOKUP(B34,Sayfa2!A:H,8,0)</f>
        <v>138</v>
      </c>
      <c r="E34" s="2" t="str">
        <f>VLOOKUP(B34,Sayfa2!A:I,9,0)</f>
        <v>10001038</v>
      </c>
      <c r="F34" s="2" t="str">
        <f>VLOOKUP(B34,Sayfa2!A:J,10,0)</f>
        <v>1038-01</v>
      </c>
      <c r="G34" s="13">
        <f t="shared" si="1"/>
        <v>702003</v>
      </c>
      <c r="H34" s="14" t="str">
        <f>VLOOKUP(B34,Sayfa2!A:K,11,0)</f>
        <v>ISIK KULE</v>
      </c>
      <c r="I34" s="14" t="str">
        <f>VLOOKUP(B34,Sayfa2!A:N,13,0)</f>
        <v>AYDINLATMA KULESİ  ITALTOWER FENIX GEN01</v>
      </c>
      <c r="J34" s="14" t="str">
        <f>VLOOKUP(B34,Sayfa2!A:AI,35,0)</f>
        <v>5329800136</v>
      </c>
      <c r="K34" s="14" t="str">
        <f>VLOOKUP(B34,Sayfa2!A:U,21,0)</f>
        <v/>
      </c>
      <c r="L34" s="15" t="str">
        <f>VLOOKUP(B34,Sayfa2!A:U,21,0)</f>
        <v/>
      </c>
    </row>
    <row r="35" spans="1:12" ht="28.2" thickBot="1">
      <c r="A35" s="1" t="str">
        <f>VLOOKUP(B35,Sayfa2!A:O,15,0)</f>
        <v/>
      </c>
      <c r="B35" s="13" t="str">
        <f>Sayfa2!A36</f>
        <v>LTW-028</v>
      </c>
      <c r="C35" s="2" t="str">
        <f>VLOOKUP(B35,Sayfa2!A:G,7,0)</f>
        <v>1038</v>
      </c>
      <c r="D35" s="2" t="str">
        <f>VLOOKUP(B35,Sayfa2!A:H,8,0)</f>
        <v>138</v>
      </c>
      <c r="E35" s="2" t="str">
        <f>VLOOKUP(B35,Sayfa2!A:I,9,0)</f>
        <v>10001038</v>
      </c>
      <c r="F35" s="2" t="str">
        <f>VLOOKUP(B35,Sayfa2!A:J,10,0)</f>
        <v>1038-01</v>
      </c>
      <c r="G35" s="13">
        <f t="shared" si="1"/>
        <v>702003</v>
      </c>
      <c r="H35" s="14" t="str">
        <f>VLOOKUP(B35,Sayfa2!A:K,11,0)</f>
        <v>ISIK KULE</v>
      </c>
      <c r="I35" s="14" t="str">
        <f>VLOOKUP(B35,Sayfa2!A:N,13,0)</f>
        <v>AYDINLATMA KULESİ  ITALTOWER FENIX GEN01</v>
      </c>
      <c r="J35" s="14" t="str">
        <f>VLOOKUP(B35,Sayfa2!A:AI,35,0)</f>
        <v>5326500266</v>
      </c>
      <c r="K35" s="14" t="str">
        <f>VLOOKUP(B35,Sayfa2!A:U,21,0)</f>
        <v/>
      </c>
      <c r="L35" s="15" t="str">
        <f>VLOOKUP(B35,Sayfa2!A:U,21,0)</f>
        <v/>
      </c>
    </row>
    <row r="36" spans="1:12" ht="28.2" thickBot="1">
      <c r="A36" s="1" t="str">
        <f>VLOOKUP(B36,Sayfa2!A:O,15,0)</f>
        <v/>
      </c>
      <c r="B36" s="13" t="str">
        <f>Sayfa2!A37</f>
        <v>LTW-029</v>
      </c>
      <c r="C36" s="2" t="str">
        <f>VLOOKUP(B36,Sayfa2!A:G,7,0)</f>
        <v>1038</v>
      </c>
      <c r="D36" s="2" t="str">
        <f>VLOOKUP(B36,Sayfa2!A:H,8,0)</f>
        <v>138</v>
      </c>
      <c r="E36" s="2" t="str">
        <f>VLOOKUP(B36,Sayfa2!A:I,9,0)</f>
        <v>10001038</v>
      </c>
      <c r="F36" s="2" t="str">
        <f>VLOOKUP(B36,Sayfa2!A:J,10,0)</f>
        <v>1038-01</v>
      </c>
      <c r="G36" s="13">
        <f t="shared" si="1"/>
        <v>702003</v>
      </c>
      <c r="H36" s="14" t="str">
        <f>VLOOKUP(B36,Sayfa2!A:K,11,0)</f>
        <v>ISIK KULE</v>
      </c>
      <c r="I36" s="14" t="str">
        <f>VLOOKUP(B36,Sayfa2!A:N,13,0)</f>
        <v>AYDINLATMA KULESİ  ITALTOWER FENIX GEN01</v>
      </c>
      <c r="J36" s="14" t="str">
        <f>VLOOKUP(B36,Sayfa2!A:AI,35,0)</f>
        <v>5329800376</v>
      </c>
      <c r="K36" s="14" t="str">
        <f>VLOOKUP(B36,Sayfa2!A:U,21,0)</f>
        <v/>
      </c>
      <c r="L36" s="15" t="str">
        <f>VLOOKUP(B36,Sayfa2!A:U,21,0)</f>
        <v/>
      </c>
    </row>
    <row r="37" spans="1:12" ht="28.2" thickBot="1">
      <c r="A37" s="1" t="str">
        <f>VLOOKUP(B37,Sayfa2!A:O,15,0)</f>
        <v>JNR-014</v>
      </c>
      <c r="B37" s="13" t="str">
        <f>Sayfa2!A38</f>
        <v>JNR-014</v>
      </c>
      <c r="C37" s="2" t="str">
        <f>VLOOKUP(B37,Sayfa2!A:G,7,0)</f>
        <v>1035</v>
      </c>
      <c r="D37" s="2" t="str">
        <f>VLOOKUP(B37,Sayfa2!A:H,8,0)</f>
        <v>135</v>
      </c>
      <c r="E37" s="2" t="str">
        <f>VLOOKUP(B37,Sayfa2!A:I,9,0)</f>
        <v>10001035</v>
      </c>
      <c r="F37" s="2" t="str">
        <f>VLOOKUP(B37,Sayfa2!A:J,10,0)</f>
        <v>1035-01</v>
      </c>
      <c r="G37" s="13">
        <f t="shared" si="1"/>
        <v>702003</v>
      </c>
      <c r="H37" s="14" t="str">
        <f>VLOOKUP(B37,Sayfa2!A:K,11,0)</f>
        <v>JENERATOR</v>
      </c>
      <c r="I37" s="14" t="str">
        <f>VLOOKUP(B37,Sayfa2!A:N,13,0)</f>
        <v>JENERATÖR DİESEL AKSA APD33A 35 KWA</v>
      </c>
      <c r="J37" s="14" t="str">
        <f>VLOOKUP(B37,Sayfa2!A:AI,35,0)</f>
        <v>17001080</v>
      </c>
      <c r="K37" s="14" t="str">
        <f>VLOOKUP(B37,Sayfa2!A:U,21,0)</f>
        <v/>
      </c>
      <c r="L37" s="15" t="str">
        <f>VLOOKUP(B37,Sayfa2!A:U,21,0)</f>
        <v/>
      </c>
    </row>
    <row r="38" spans="1:12" ht="15" thickBot="1">
      <c r="A38" s="1" t="str">
        <f>VLOOKUP(B38,Sayfa2!A:O,15,0)</f>
        <v>JNR-018</v>
      </c>
      <c r="B38" s="13" t="str">
        <f>Sayfa2!A39</f>
        <v>JNR-018</v>
      </c>
      <c r="C38" s="2" t="str">
        <f>VLOOKUP(B38,Sayfa2!A:G,7,0)</f>
        <v>1035</v>
      </c>
      <c r="D38" s="2" t="str">
        <f>VLOOKUP(B38,Sayfa2!A:H,8,0)</f>
        <v>135</v>
      </c>
      <c r="E38" s="2" t="str">
        <f>VLOOKUP(B38,Sayfa2!A:I,9,0)</f>
        <v>10001035</v>
      </c>
      <c r="F38" s="2" t="str">
        <f>VLOOKUP(B38,Sayfa2!A:J,10,0)</f>
        <v>1035-01</v>
      </c>
      <c r="G38" s="13">
        <f t="shared" si="1"/>
        <v>702003</v>
      </c>
      <c r="H38" s="14" t="str">
        <f>VLOOKUP(B38,Sayfa2!A:K,11,0)</f>
        <v>JENERATOR</v>
      </c>
      <c r="I38" s="14" t="str">
        <f>VLOOKUP(B38,Sayfa2!A:N,13,0)</f>
        <v>JENERATÖR FE POWER  FE-Y17</v>
      </c>
      <c r="J38" s="14" t="str">
        <f>VLOOKUP(B38,Sayfa2!A:AI,35,0)</f>
        <v/>
      </c>
      <c r="K38" s="14" t="str">
        <f>VLOOKUP(B38,Sayfa2!A:U,21,0)</f>
        <v/>
      </c>
      <c r="L38" s="15" t="str">
        <f>VLOOKUP(B38,Sayfa2!A:U,21,0)</f>
        <v/>
      </c>
    </row>
    <row r="39" spans="1:12" ht="28.2" thickBot="1">
      <c r="A39" s="1" t="str">
        <f>VLOOKUP(B39,Sayfa2!A:O,15,0)</f>
        <v>H10228</v>
      </c>
      <c r="B39" s="13" t="str">
        <f>Sayfa2!A40</f>
        <v>JNR-020</v>
      </c>
      <c r="C39" s="2" t="str">
        <f>VLOOKUP(B39,Sayfa2!A:G,7,0)</f>
        <v>1035</v>
      </c>
      <c r="D39" s="2" t="str">
        <f>VLOOKUP(B39,Sayfa2!A:H,8,0)</f>
        <v>135</v>
      </c>
      <c r="E39" s="2" t="str">
        <f>VLOOKUP(B39,Sayfa2!A:I,9,0)</f>
        <v>10001035</v>
      </c>
      <c r="F39" s="2" t="str">
        <f>VLOOKUP(B39,Sayfa2!A:J,10,0)</f>
        <v>1035-01</v>
      </c>
      <c r="G39" s="13">
        <f t="shared" si="1"/>
        <v>702003</v>
      </c>
      <c r="H39" s="14" t="str">
        <f>VLOOKUP(B39,Sayfa2!A:K,11,0)</f>
        <v>JENERATOR</v>
      </c>
      <c r="I39" s="14" t="str">
        <f>VLOOKUP(B39,Sayfa2!A:N,13,0)</f>
        <v>AKSA  TURBOCHARGER - 800 KVA ( KTA2300 G</v>
      </c>
      <c r="J39" s="14" t="str">
        <f>VLOOKUP(B39,Sayfa2!A:AI,35,0)</f>
        <v>CUMMIS KTA2300G (33101889)</v>
      </c>
      <c r="K39" s="14" t="str">
        <f>VLOOKUP(B39,Sayfa2!A:U,21,0)</f>
        <v/>
      </c>
      <c r="L39" s="15" t="str">
        <f>VLOOKUP(B39,Sayfa2!A:U,21,0)</f>
        <v/>
      </c>
    </row>
    <row r="40" spans="1:12" ht="28.2" thickBot="1">
      <c r="A40" s="1" t="str">
        <f>VLOOKUP(B40,Sayfa2!A:O,15,0)</f>
        <v>JNR-021</v>
      </c>
      <c r="B40" s="13" t="str">
        <f>Sayfa2!A41</f>
        <v>JNR-022</v>
      </c>
      <c r="C40" s="2" t="str">
        <f>VLOOKUP(B40,Sayfa2!A:G,7,0)</f>
        <v>1035</v>
      </c>
      <c r="D40" s="2" t="str">
        <f>VLOOKUP(B40,Sayfa2!A:H,8,0)</f>
        <v>135</v>
      </c>
      <c r="E40" s="2" t="str">
        <f>VLOOKUP(B40,Sayfa2!A:I,9,0)</f>
        <v>10001035</v>
      </c>
      <c r="F40" s="2" t="str">
        <f>VLOOKUP(B40,Sayfa2!A:J,10,0)</f>
        <v>1035-01</v>
      </c>
      <c r="G40" s="13">
        <f t="shared" si="1"/>
        <v>702003</v>
      </c>
      <c r="H40" s="14" t="str">
        <f>VLOOKUP(B40,Sayfa2!A:K,11,0)</f>
        <v>JENERATOR</v>
      </c>
      <c r="I40" s="14" t="str">
        <f>VLOOKUP(B40,Sayfa2!A:N,13,0)</f>
        <v>ALIMAR  ALMRAAA 33</v>
      </c>
      <c r="J40" s="14" t="str">
        <f>VLOOKUP(B40,Sayfa2!A:AI,35,0)</f>
        <v>AYD4ND32 (Y190902538)</v>
      </c>
      <c r="K40" s="14" t="str">
        <f>VLOOKUP(B40,Sayfa2!A:U,21,0)</f>
        <v/>
      </c>
      <c r="L40" s="15" t="str">
        <f>VLOOKUP(B40,Sayfa2!A:U,21,0)</f>
        <v/>
      </c>
    </row>
    <row r="41" spans="1:12" ht="15" thickBot="1">
      <c r="A41" s="1" t="str">
        <f>VLOOKUP(B41,Sayfa2!A:O,15,0)</f>
        <v>JNR-024</v>
      </c>
      <c r="B41" s="13" t="str">
        <f>Sayfa2!A42</f>
        <v>JNR-024</v>
      </c>
      <c r="C41" s="2" t="str">
        <f>VLOOKUP(B41,Sayfa2!A:G,7,0)</f>
        <v>1035</v>
      </c>
      <c r="D41" s="2" t="str">
        <f>VLOOKUP(B41,Sayfa2!A:H,8,0)</f>
        <v>135</v>
      </c>
      <c r="E41" s="2" t="str">
        <f>VLOOKUP(B41,Sayfa2!A:I,9,0)</f>
        <v>10001035</v>
      </c>
      <c r="F41" s="2" t="str">
        <f>VLOOKUP(B41,Sayfa2!A:J,10,0)</f>
        <v>1035-01</v>
      </c>
      <c r="G41" s="13">
        <f t="shared" si="1"/>
        <v>702003</v>
      </c>
      <c r="H41" s="14" t="str">
        <f>VLOOKUP(B41,Sayfa2!A:K,11,0)</f>
        <v>JENERATOR</v>
      </c>
      <c r="I41" s="14" t="str">
        <f>VLOOKUP(B41,Sayfa2!A:N,13,0)</f>
        <v>FULL FR150C - 150 KVA</v>
      </c>
      <c r="J41" s="14" t="str">
        <f>VLOOKUP(B41,Sayfa2!A:AI,35,0)</f>
        <v>D-950176E</v>
      </c>
      <c r="K41" s="14" t="str">
        <f>VLOOKUP(B41,Sayfa2!A:U,21,0)</f>
        <v/>
      </c>
      <c r="L41" s="15" t="str">
        <f>VLOOKUP(B41,Sayfa2!A:U,21,0)</f>
        <v/>
      </c>
    </row>
    <row r="42" spans="1:12" ht="15" thickBot="1">
      <c r="A42" s="1" t="str">
        <f>VLOOKUP(B42,Sayfa2!A:O,15,0)</f>
        <v>G120100831</v>
      </c>
      <c r="B42" s="13" t="str">
        <f>Sayfa2!A43</f>
        <v>JNR-039</v>
      </c>
      <c r="C42" s="2" t="str">
        <f>VLOOKUP(B42,Sayfa2!A:G,7,0)</f>
        <v>1038</v>
      </c>
      <c r="D42" s="2" t="str">
        <f>VLOOKUP(B42,Sayfa2!A:H,8,0)</f>
        <v>138</v>
      </c>
      <c r="E42" s="2" t="str">
        <f>VLOOKUP(B42,Sayfa2!A:I,9,0)</f>
        <v>10001038</v>
      </c>
      <c r="F42" s="2" t="str">
        <f>VLOOKUP(B42,Sayfa2!A:J,10,0)</f>
        <v>1038-01</v>
      </c>
      <c r="G42" s="13">
        <f t="shared" si="1"/>
        <v>702003</v>
      </c>
      <c r="H42" s="14" t="str">
        <f>VLOOKUP(B42,Sayfa2!A:K,11,0)</f>
        <v>JENERATOR</v>
      </c>
      <c r="I42" s="14" t="str">
        <f>VLOOKUP(B42,Sayfa2!A:N,13,0)</f>
        <v>GNT 70 KW JENERATÖR</v>
      </c>
      <c r="J42" s="14" t="str">
        <f>VLOOKUP(B42,Sayfa2!A:AI,35,0)</f>
        <v/>
      </c>
      <c r="K42" s="14" t="str">
        <f>VLOOKUP(B42,Sayfa2!A:U,21,0)</f>
        <v/>
      </c>
      <c r="L42" s="15" t="str">
        <f>VLOOKUP(B42,Sayfa2!A:U,21,0)</f>
        <v/>
      </c>
    </row>
    <row r="43" spans="1:12" ht="15" thickBot="1">
      <c r="A43" s="1" t="str">
        <f>VLOOKUP(B43,Sayfa2!A:O,15,0)</f>
        <v/>
      </c>
      <c r="B43" s="13" t="str">
        <f>Sayfa2!A44</f>
        <v>JNR-046</v>
      </c>
      <c r="C43" s="2" t="str">
        <f>VLOOKUP(B43,Sayfa2!A:G,7,0)</f>
        <v>1038</v>
      </c>
      <c r="D43" s="2" t="str">
        <f>VLOOKUP(B43,Sayfa2!A:H,8,0)</f>
        <v>138</v>
      </c>
      <c r="E43" s="2" t="str">
        <f>VLOOKUP(B43,Sayfa2!A:I,9,0)</f>
        <v>10001038</v>
      </c>
      <c r="F43" s="2" t="str">
        <f>VLOOKUP(B43,Sayfa2!A:J,10,0)</f>
        <v>1038-01</v>
      </c>
      <c r="G43" s="13">
        <f t="shared" si="1"/>
        <v>702003</v>
      </c>
      <c r="H43" s="14" t="str">
        <f>VLOOKUP(B43,Sayfa2!A:K,11,0)</f>
        <v>JENERATOR</v>
      </c>
      <c r="I43" s="14" t="str">
        <f>VLOOKUP(B43,Sayfa2!A:N,13,0)</f>
        <v>JENERATÖR ALIMAR  ALMRAAA 36</v>
      </c>
      <c r="J43" s="14" t="str">
        <f>VLOOKUP(B43,Sayfa2!A:AI,35,0)</f>
        <v/>
      </c>
      <c r="K43" s="14" t="str">
        <f>VLOOKUP(B43,Sayfa2!A:U,21,0)</f>
        <v>65464/23</v>
      </c>
      <c r="L43" s="15" t="str">
        <f>VLOOKUP(B43,Sayfa2!A:U,21,0)</f>
        <v>65464/23</v>
      </c>
    </row>
    <row r="44" spans="1:12" ht="28.2" thickBot="1">
      <c r="A44" s="1" t="str">
        <f>VLOOKUP(B44,Sayfa2!A:O,15,0)</f>
        <v/>
      </c>
      <c r="B44" s="13" t="str">
        <f>Sayfa2!A45</f>
        <v>KIR-1000</v>
      </c>
      <c r="C44" s="2" t="str">
        <f>VLOOKUP(B44,Sayfa2!A:G,7,0)</f>
        <v>1035</v>
      </c>
      <c r="D44" s="2" t="str">
        <f>VLOOKUP(B44,Sayfa2!A:H,8,0)</f>
        <v>135</v>
      </c>
      <c r="E44" s="2" t="str">
        <f>VLOOKUP(B44,Sayfa2!A:I,9,0)</f>
        <v>10001035</v>
      </c>
      <c r="F44" s="2" t="str">
        <f>VLOOKUP(B44,Sayfa2!A:J,10,0)</f>
        <v>1035-01</v>
      </c>
      <c r="G44" s="13">
        <f t="shared" si="1"/>
        <v>702003</v>
      </c>
      <c r="H44" s="14" t="str">
        <f>VLOOKUP(B44,Sayfa2!A:K,11,0)</f>
        <v>JENERATOR</v>
      </c>
      <c r="I44" s="14" t="str">
        <f>VLOOKUP(B44,Sayfa2!A:N,13,0)</f>
        <v>JENERATÖR AKSA 200 KVA CUMMİNS</v>
      </c>
      <c r="J44" s="14" t="str">
        <f>VLOOKUP(B44,Sayfa2!A:AI,35,0)</f>
        <v>F345400</v>
      </c>
      <c r="K44" s="14" t="str">
        <f>VLOOKUP(B44,Sayfa2!A:U,21,0)</f>
        <v/>
      </c>
      <c r="L44" s="15" t="str">
        <f>VLOOKUP(B44,Sayfa2!A:U,21,0)</f>
        <v/>
      </c>
    </row>
    <row r="45" spans="1:12" ht="15" thickBot="1">
      <c r="A45" s="1" t="str">
        <f>VLOOKUP(B45,Sayfa2!A:O,15,0)</f>
        <v/>
      </c>
      <c r="B45" s="13" t="str">
        <f>Sayfa2!A46</f>
        <v>KIR-1002</v>
      </c>
      <c r="C45" s="2" t="str">
        <f>VLOOKUP(B45,Sayfa2!A:G,7,0)</f>
        <v>1035</v>
      </c>
      <c r="D45" s="2" t="str">
        <f>VLOOKUP(B45,Sayfa2!A:H,8,0)</f>
        <v>135</v>
      </c>
      <c r="E45" s="2" t="str">
        <f>VLOOKUP(B45,Sayfa2!A:I,9,0)</f>
        <v>10001035</v>
      </c>
      <c r="F45" s="2" t="str">
        <f>VLOOKUP(B45,Sayfa2!A:J,10,0)</f>
        <v>1035-01</v>
      </c>
      <c r="G45" s="13">
        <f t="shared" si="1"/>
        <v>702003</v>
      </c>
      <c r="H45" s="14" t="str">
        <f>VLOOKUP(B45,Sayfa2!A:K,11,0)</f>
        <v>JENERATOR</v>
      </c>
      <c r="I45" s="14" t="str">
        <f>VLOOKUP(B45,Sayfa2!A:N,13,0)</f>
        <v>JENERATÖR İŞBİR SGB 608/407 KVA</v>
      </c>
      <c r="J45" s="14" t="str">
        <f>VLOOKUP(B45,Sayfa2!A:AI,35,0)</f>
        <v>F345400</v>
      </c>
      <c r="K45" s="14" t="str">
        <f>VLOOKUP(B45,Sayfa2!A:U,21,0)</f>
        <v/>
      </c>
      <c r="L45" s="15" t="str">
        <f>VLOOKUP(B45,Sayfa2!A:U,21,0)</f>
        <v/>
      </c>
    </row>
    <row r="46" spans="1:12" ht="15" thickBot="1">
      <c r="A46" s="1" t="str">
        <f>VLOOKUP(B46,Sayfa2!A:O,15,0)</f>
        <v/>
      </c>
      <c r="B46" s="13" t="str">
        <f>Sayfa2!A47</f>
        <v>KIR-977</v>
      </c>
      <c r="C46" s="2" t="str">
        <f>VLOOKUP(B46,Sayfa2!A:G,7,0)</f>
        <v>1035</v>
      </c>
      <c r="D46" s="2" t="str">
        <f>VLOOKUP(B46,Sayfa2!A:H,8,0)</f>
        <v>135</v>
      </c>
      <c r="E46" s="2" t="str">
        <f>VLOOKUP(B46,Sayfa2!A:I,9,0)</f>
        <v>10001035</v>
      </c>
      <c r="F46" s="2" t="str">
        <f>VLOOKUP(B46,Sayfa2!A:J,10,0)</f>
        <v>1035-01</v>
      </c>
      <c r="G46" s="13">
        <f t="shared" si="1"/>
        <v>702003</v>
      </c>
      <c r="H46" s="14" t="str">
        <f>VLOOKUP(B46,Sayfa2!A:K,11,0)</f>
        <v>JENERATOR</v>
      </c>
      <c r="I46" s="14" t="str">
        <f>VLOOKUP(B46,Sayfa2!A:N,13,0)</f>
        <v>JENERATÖR AKSA AC200 200 KVA</v>
      </c>
      <c r="J46" s="14" t="str">
        <f>VLOOKUP(B46,Sayfa2!A:AI,35,0)</f>
        <v>AK4150</v>
      </c>
      <c r="K46" s="14" t="str">
        <f>VLOOKUP(B46,Sayfa2!A:U,21,0)</f>
        <v/>
      </c>
      <c r="L46" s="15" t="str">
        <f>VLOOKUP(B46,Sayfa2!A:U,21,0)</f>
        <v/>
      </c>
    </row>
    <row r="47" spans="1:12" ht="15" thickBot="1">
      <c r="A47" s="1" t="str">
        <f>VLOOKUP(B47,Sayfa2!A:O,15,0)</f>
        <v/>
      </c>
      <c r="B47" s="13" t="str">
        <f>Sayfa2!A48</f>
        <v>KIR-978</v>
      </c>
      <c r="C47" s="2" t="str">
        <f>VLOOKUP(B47,Sayfa2!A:G,7,0)</f>
        <v>1035</v>
      </c>
      <c r="D47" s="2" t="str">
        <f>VLOOKUP(B47,Sayfa2!A:H,8,0)</f>
        <v>135</v>
      </c>
      <c r="E47" s="2" t="str">
        <f>VLOOKUP(B47,Sayfa2!A:I,9,0)</f>
        <v>10001035</v>
      </c>
      <c r="F47" s="2" t="str">
        <f>VLOOKUP(B47,Sayfa2!A:J,10,0)</f>
        <v>1035-01</v>
      </c>
      <c r="G47" s="13">
        <f t="shared" si="1"/>
        <v>702003</v>
      </c>
      <c r="H47" s="14" t="str">
        <f>VLOOKUP(B47,Sayfa2!A:K,11,0)</f>
        <v>JENERATOR</v>
      </c>
      <c r="I47" s="14" t="str">
        <f>VLOOKUP(B47,Sayfa2!A:N,13,0)</f>
        <v>JENERATÖR AKSA AJD200 200 KVA</v>
      </c>
      <c r="J47" s="14" t="str">
        <f>VLOOKUP(B47,Sayfa2!A:AI,35,0)</f>
        <v>1208257</v>
      </c>
      <c r="K47" s="14" t="str">
        <f>VLOOKUP(B47,Sayfa2!A:U,21,0)</f>
        <v/>
      </c>
      <c r="L47" s="15" t="str">
        <f>VLOOKUP(B47,Sayfa2!A:U,21,0)</f>
        <v/>
      </c>
    </row>
    <row r="48" spans="1:12" ht="28.2" thickBot="1">
      <c r="A48" s="1" t="str">
        <f>VLOOKUP(B48,Sayfa2!A:O,15,0)</f>
        <v/>
      </c>
      <c r="B48" s="13" t="str">
        <f>Sayfa2!A49</f>
        <v>KIR-992</v>
      </c>
      <c r="C48" s="2" t="str">
        <f>VLOOKUP(B48,Sayfa2!A:G,7,0)</f>
        <v>1035</v>
      </c>
      <c r="D48" s="2" t="str">
        <f>VLOOKUP(B48,Sayfa2!A:H,8,0)</f>
        <v>135</v>
      </c>
      <c r="E48" s="2" t="str">
        <f>VLOOKUP(B48,Sayfa2!A:I,9,0)</f>
        <v>10001035</v>
      </c>
      <c r="F48" s="2" t="str">
        <f>VLOOKUP(B48,Sayfa2!A:J,10,0)</f>
        <v>1035-01</v>
      </c>
      <c r="G48" s="13">
        <f t="shared" si="1"/>
        <v>702003</v>
      </c>
      <c r="H48" s="14" t="str">
        <f>VLOOKUP(B48,Sayfa2!A:K,11,0)</f>
        <v>JENERATOR</v>
      </c>
      <c r="I48" s="14" t="str">
        <f>VLOOKUP(B48,Sayfa2!A:N,13,0)</f>
        <v>JENERATÖR AKSA 200 KVA CUMMİNS</v>
      </c>
      <c r="J48" s="14" t="str">
        <f>VLOOKUP(B48,Sayfa2!A:AI,35,0)</f>
        <v>F345400</v>
      </c>
      <c r="K48" s="14" t="str">
        <f>VLOOKUP(B48,Sayfa2!A:U,21,0)</f>
        <v/>
      </c>
      <c r="L48" s="15" t="str">
        <f>VLOOKUP(B48,Sayfa2!A:U,21,0)</f>
        <v/>
      </c>
    </row>
    <row r="49" spans="1:12" ht="15" thickBot="1">
      <c r="A49" s="1" t="str">
        <f>VLOOKUP(B49,Sayfa2!A:O,15,0)</f>
        <v/>
      </c>
      <c r="B49" s="13" t="str">
        <f>Sayfa2!A50</f>
        <v>KIR-993</v>
      </c>
      <c r="C49" s="2" t="str">
        <f>VLOOKUP(B49,Sayfa2!A:G,7,0)</f>
        <v>1035</v>
      </c>
      <c r="D49" s="2" t="str">
        <f>VLOOKUP(B49,Sayfa2!A:H,8,0)</f>
        <v>135</v>
      </c>
      <c r="E49" s="2" t="str">
        <f>VLOOKUP(B49,Sayfa2!A:I,9,0)</f>
        <v>10001035</v>
      </c>
      <c r="F49" s="2" t="str">
        <f>VLOOKUP(B49,Sayfa2!A:J,10,0)</f>
        <v>1035-01</v>
      </c>
      <c r="G49" s="13">
        <f t="shared" si="1"/>
        <v>702003</v>
      </c>
      <c r="H49" s="14" t="str">
        <f>VLOOKUP(B49,Sayfa2!A:K,11,0)</f>
        <v>JENERATOR</v>
      </c>
      <c r="I49" s="14" t="str">
        <f>VLOOKUP(B49,Sayfa2!A:N,13,0)</f>
        <v>JENERATÖR AKSA AC200</v>
      </c>
      <c r="J49" s="14" t="str">
        <f>VLOOKUP(B49,Sayfa2!A:AI,35,0)</f>
        <v>1384733</v>
      </c>
      <c r="K49" s="14" t="str">
        <f>VLOOKUP(B49,Sayfa2!A:U,21,0)</f>
        <v/>
      </c>
      <c r="L49" s="15" t="str">
        <f>VLOOKUP(B49,Sayfa2!A:U,21,0)</f>
        <v/>
      </c>
    </row>
    <row r="50" spans="1:12" ht="15" thickBot="1">
      <c r="A50" s="1" t="str">
        <f>VLOOKUP(B50,Sayfa2!A:O,15,0)</f>
        <v/>
      </c>
      <c r="B50" s="13" t="str">
        <f>Sayfa2!A51</f>
        <v>KIR-997</v>
      </c>
      <c r="C50" s="2" t="str">
        <f>VLOOKUP(B50,Sayfa2!A:G,7,0)</f>
        <v>1035</v>
      </c>
      <c r="D50" s="2" t="str">
        <f>VLOOKUP(B50,Sayfa2!A:H,8,0)</f>
        <v>135</v>
      </c>
      <c r="E50" s="2" t="str">
        <f>VLOOKUP(B50,Sayfa2!A:I,9,0)</f>
        <v>10001035</v>
      </c>
      <c r="F50" s="2" t="str">
        <f>VLOOKUP(B50,Sayfa2!A:J,10,0)</f>
        <v>1035-01</v>
      </c>
      <c r="G50" s="13">
        <f t="shared" si="1"/>
        <v>702003</v>
      </c>
      <c r="H50" s="14" t="str">
        <f>VLOOKUP(B50,Sayfa2!A:K,11,0)</f>
        <v>JENERATOR</v>
      </c>
      <c r="I50" s="14" t="str">
        <f>VLOOKUP(B50,Sayfa2!A:N,13,0)</f>
        <v>JENERATÖR AKSA AC 200 200 KVA</v>
      </c>
      <c r="J50" s="14" t="str">
        <f>VLOOKUP(B50,Sayfa2!A:AI,35,0)</f>
        <v>F345400</v>
      </c>
      <c r="K50" s="14" t="str">
        <f>VLOOKUP(B50,Sayfa2!A:U,21,0)</f>
        <v/>
      </c>
      <c r="L50" s="15" t="str">
        <f>VLOOKUP(B50,Sayfa2!A:U,21,0)</f>
        <v/>
      </c>
    </row>
    <row r="51" spans="1:12" ht="15" thickBot="1">
      <c r="A51" s="1" t="str">
        <f>VLOOKUP(B51,Sayfa2!A:O,15,0)</f>
        <v>17UU186</v>
      </c>
      <c r="B51" s="13" t="str">
        <f>Sayfa2!A52</f>
        <v>AKT-003</v>
      </c>
      <c r="C51" s="2" t="str">
        <f>VLOOKUP(B51,Sayfa2!A:G,7,0)</f>
        <v>1035</v>
      </c>
      <c r="D51" s="2" t="str">
        <f>VLOOKUP(B51,Sayfa2!A:H,8,0)</f>
        <v>135</v>
      </c>
      <c r="E51" s="2" t="str">
        <f>VLOOKUP(B51,Sayfa2!A:I,9,0)</f>
        <v>10001035</v>
      </c>
      <c r="F51" s="2" t="str">
        <f>VLOOKUP(B51,Sayfa2!A:J,10,0)</f>
        <v>1035-01</v>
      </c>
      <c r="G51" s="13">
        <f t="shared" si="1"/>
        <v>702002</v>
      </c>
      <c r="H51" s="14" t="str">
        <f>VLOOKUP(B51,Sayfa2!A:K,11,0)</f>
        <v>KAMYON GRP</v>
      </c>
      <c r="I51" s="14" t="str">
        <f>VLOOKUP(B51,Sayfa2!A:N,13,0)</f>
        <v>AKARYAKIT TANKERİ ISUZU NPR 71</v>
      </c>
      <c r="J51" s="14" t="str">
        <f>VLOOKUP(B51,Sayfa2!A:AI,35,0)</f>
        <v>327961</v>
      </c>
      <c r="K51" s="14" t="str">
        <f>VLOOKUP(B51,Sayfa2!A:U,21,0)</f>
        <v>DC592857</v>
      </c>
      <c r="L51" s="15" t="str">
        <f>VLOOKUP(B51,Sayfa2!A:U,21,0)</f>
        <v>DC592857</v>
      </c>
    </row>
    <row r="52" spans="1:12" ht="15" thickBot="1">
      <c r="A52" s="1" t="str">
        <f>VLOOKUP(B52,Sayfa2!A:O,15,0)</f>
        <v>06FY3516</v>
      </c>
      <c r="B52" s="13" t="str">
        <f>Sayfa2!A53</f>
        <v>ARZ-003</v>
      </c>
      <c r="C52" s="2" t="str">
        <f>VLOOKUP(B52,Sayfa2!A:G,7,0)</f>
        <v>1035</v>
      </c>
      <c r="D52" s="2" t="str">
        <f>VLOOKUP(B52,Sayfa2!A:H,8,0)</f>
        <v>135</v>
      </c>
      <c r="E52" s="2" t="str">
        <f>VLOOKUP(B52,Sayfa2!A:I,9,0)</f>
        <v>10001035</v>
      </c>
      <c r="F52" s="2" t="str">
        <f>VLOOKUP(B52,Sayfa2!A:J,10,0)</f>
        <v>1035-01</v>
      </c>
      <c r="G52" s="13">
        <f t="shared" si="1"/>
        <v>702002</v>
      </c>
      <c r="H52" s="14" t="str">
        <f>VLOOKUP(B52,Sayfa2!A:K,11,0)</f>
        <v>KAMYON GRP</v>
      </c>
      <c r="I52" s="14" t="str">
        <f>VLOOKUP(B52,Sayfa2!A:N,13,0)</f>
        <v>SU TANKERİ FORD  CARGO 2532</v>
      </c>
      <c r="J52" s="14" t="str">
        <f>VLOOKUP(B52,Sayfa2!A:AI,35,0)</f>
        <v>FU93710</v>
      </c>
      <c r="K52" s="14" t="str">
        <f>VLOOKUP(B52,Sayfa2!A:U,21,0)</f>
        <v>CT085802</v>
      </c>
      <c r="L52" s="15" t="str">
        <f>VLOOKUP(B52,Sayfa2!A:U,21,0)</f>
        <v>CT085802</v>
      </c>
    </row>
    <row r="53" spans="1:12" ht="15" thickBot="1">
      <c r="A53" s="1" t="str">
        <f>VLOOKUP(B53,Sayfa2!A:O,15,0)</f>
        <v>06FY6523</v>
      </c>
      <c r="B53" s="13" t="str">
        <f>Sayfa2!A54</f>
        <v>ARZ-008</v>
      </c>
      <c r="C53" s="2" t="str">
        <f>VLOOKUP(B53,Sayfa2!A:G,7,0)</f>
        <v>1035</v>
      </c>
      <c r="D53" s="2" t="str">
        <f>VLOOKUP(B53,Sayfa2!A:H,8,0)</f>
        <v>135</v>
      </c>
      <c r="E53" s="2" t="str">
        <f>VLOOKUP(B53,Sayfa2!A:I,9,0)</f>
        <v>10001035</v>
      </c>
      <c r="F53" s="2" t="str">
        <f>VLOOKUP(B53,Sayfa2!A:J,10,0)</f>
        <v>1035-01</v>
      </c>
      <c r="G53" s="13">
        <f t="shared" si="1"/>
        <v>702002</v>
      </c>
      <c r="H53" s="14" t="str">
        <f>VLOOKUP(B53,Sayfa2!A:K,11,0)</f>
        <v>KAMYON GRP</v>
      </c>
      <c r="I53" s="14" t="str">
        <f>VLOOKUP(B53,Sayfa2!A:N,13,0)</f>
        <v>SU TANKERİ FORD CARGO 2526</v>
      </c>
      <c r="J53" s="14" t="str">
        <f>VLOOKUP(B53,Sayfa2!A:AI,35,0)</f>
        <v>DR93239</v>
      </c>
      <c r="K53" s="14" t="str">
        <f>VLOOKUP(B53,Sayfa2!A:U,21,0)</f>
        <v>FU198761</v>
      </c>
      <c r="L53" s="15" t="str">
        <f>VLOOKUP(B53,Sayfa2!A:U,21,0)</f>
        <v>FU198761</v>
      </c>
    </row>
    <row r="54" spans="1:12" ht="28.2" thickBot="1">
      <c r="A54" s="1" t="str">
        <f>VLOOKUP(B54,Sayfa2!A:O,15,0)</f>
        <v>06FV9054</v>
      </c>
      <c r="B54" s="13" t="str">
        <f>Sayfa2!A55</f>
        <v>BKM-006</v>
      </c>
      <c r="C54" s="2" t="str">
        <f>VLOOKUP(B54,Sayfa2!A:G,7,0)</f>
        <v>1038</v>
      </c>
      <c r="D54" s="2" t="str">
        <f>VLOOKUP(B54,Sayfa2!A:H,8,0)</f>
        <v>138</v>
      </c>
      <c r="E54" s="2" t="str">
        <f>VLOOKUP(B54,Sayfa2!A:I,9,0)</f>
        <v>10001038</v>
      </c>
      <c r="F54" s="2" t="str">
        <f>VLOOKUP(B54,Sayfa2!A:J,10,0)</f>
        <v>1038-01</v>
      </c>
      <c r="G54" s="13">
        <f t="shared" si="1"/>
        <v>702002</v>
      </c>
      <c r="H54" s="14" t="str">
        <f>VLOOKUP(B54,Sayfa2!A:K,11,0)</f>
        <v>KAMYON GRP</v>
      </c>
      <c r="I54" s="14" t="str">
        <f>VLOOKUP(B54,Sayfa2!A:N,13,0)</f>
        <v>BAKIM ARACI MERCEDES-BENZ ATEGO</v>
      </c>
      <c r="J54" s="14" t="str">
        <f>VLOOKUP(B54,Sayfa2!A:AI,35,0)</f>
        <v>6CT50507403</v>
      </c>
      <c r="K54" s="14" t="str">
        <f>VLOOKUP(B54,Sayfa2!A:U,21,0)</f>
        <v>IK3245369</v>
      </c>
      <c r="L54" s="15" t="str">
        <f>VLOOKUP(B54,Sayfa2!A:U,21,0)</f>
        <v>IK3245369</v>
      </c>
    </row>
    <row r="55" spans="1:12" ht="15" thickBot="1">
      <c r="A55" s="1" t="str">
        <f>VLOOKUP(B55,Sayfa2!A:O,15,0)</f>
        <v>06GA6634</v>
      </c>
      <c r="B55" s="13" t="str">
        <f>Sayfa2!A56</f>
        <v>BTP-001</v>
      </c>
      <c r="C55" s="2" t="str">
        <f>VLOOKUP(B55,Sayfa2!A:G,7,0)</f>
        <v>1035</v>
      </c>
      <c r="D55" s="2" t="str">
        <f>VLOOKUP(B55,Sayfa2!A:H,8,0)</f>
        <v>135</v>
      </c>
      <c r="E55" s="2" t="str">
        <f>VLOOKUP(B55,Sayfa2!A:I,9,0)</f>
        <v>10001035</v>
      </c>
      <c r="F55" s="2" t="str">
        <f>VLOOKUP(B55,Sayfa2!A:J,10,0)</f>
        <v>1035-01</v>
      </c>
      <c r="G55" s="13">
        <f t="shared" si="1"/>
        <v>702002</v>
      </c>
      <c r="H55" s="14" t="str">
        <f>VLOOKUP(B55,Sayfa2!A:K,11,0)</f>
        <v>KAMYON GRP</v>
      </c>
      <c r="I55" s="14" t="str">
        <f>VLOOKUP(B55,Sayfa2!A:N,13,0)</f>
        <v>BETON POMPASI MERCEDES 3340</v>
      </c>
      <c r="J55" s="14" t="str">
        <f>VLOOKUP(B55,Sayfa2!A:AI,35,0)</f>
        <v>457957C0335432</v>
      </c>
      <c r="K55" s="14" t="str">
        <f>VLOOKUP(B55,Sayfa2!A:U,21,0)</f>
        <v>IK623301</v>
      </c>
      <c r="L55" s="15" t="str">
        <f>VLOOKUP(B55,Sayfa2!A:U,21,0)</f>
        <v>IK623301</v>
      </c>
    </row>
    <row r="56" spans="1:12" ht="28.2" thickBot="1">
      <c r="A56" s="1" t="str">
        <f>VLOOKUP(B56,Sayfa2!A:O,15,0)</f>
        <v>06EJP632</v>
      </c>
      <c r="B56" s="13" t="str">
        <f>Sayfa2!A57</f>
        <v>BTP-002</v>
      </c>
      <c r="C56" s="2" t="str">
        <f>VLOOKUP(B56,Sayfa2!A:G,7,0)</f>
        <v>1035</v>
      </c>
      <c r="D56" s="2" t="str">
        <f>VLOOKUP(B56,Sayfa2!A:H,8,0)</f>
        <v>135</v>
      </c>
      <c r="E56" s="2" t="str">
        <f>VLOOKUP(B56,Sayfa2!A:I,9,0)</f>
        <v>10001035</v>
      </c>
      <c r="F56" s="2" t="str">
        <f>VLOOKUP(B56,Sayfa2!A:J,10,0)</f>
        <v>1035-01</v>
      </c>
      <c r="G56" s="13">
        <f t="shared" si="1"/>
        <v>702002</v>
      </c>
      <c r="H56" s="14" t="str">
        <f>VLOOKUP(B56,Sayfa2!A:K,11,0)</f>
        <v>KAMYON GRP</v>
      </c>
      <c r="I56" s="14" t="str">
        <f>VLOOKUP(B56,Sayfa2!A:N,13,0)</f>
        <v>BETON POMPASI MERCEDES 3343 8X4</v>
      </c>
      <c r="J56" s="14" t="str">
        <f>VLOOKUP(B56,Sayfa2!A:AI,35,0)</f>
        <v>470913C0888217</v>
      </c>
      <c r="K56" s="14" t="str">
        <f>VLOOKUP(B56,Sayfa2!A:U,21,0)</f>
        <v>HP062782</v>
      </c>
      <c r="L56" s="15" t="str">
        <f>VLOOKUP(B56,Sayfa2!A:U,21,0)</f>
        <v>HP062782</v>
      </c>
    </row>
    <row r="57" spans="1:12" ht="28.2" thickBot="1">
      <c r="A57" s="1" t="str">
        <f>VLOOKUP(B57,Sayfa2!A:O,15,0)</f>
        <v>06DC2749</v>
      </c>
      <c r="B57" s="13" t="str">
        <f>Sayfa2!A58</f>
        <v>DK-040</v>
      </c>
      <c r="C57" s="2" t="str">
        <f>VLOOKUP(B57,Sayfa2!A:G,7,0)</f>
        <v>1038</v>
      </c>
      <c r="D57" s="2" t="str">
        <f>VLOOKUP(B57,Sayfa2!A:H,8,0)</f>
        <v>138</v>
      </c>
      <c r="E57" s="2" t="str">
        <f>VLOOKUP(B57,Sayfa2!A:I,9,0)</f>
        <v>10001038</v>
      </c>
      <c r="F57" s="2" t="str">
        <f>VLOOKUP(B57,Sayfa2!A:J,10,0)</f>
        <v>1038-01</v>
      </c>
      <c r="G57" s="13">
        <f t="shared" si="1"/>
        <v>702002</v>
      </c>
      <c r="H57" s="14" t="str">
        <f>VLOOKUP(B57,Sayfa2!A:K,11,0)</f>
        <v>KAMYON GRP</v>
      </c>
      <c r="I57" s="14" t="str">
        <f>VLOOKUP(B57,Sayfa2!A:N,13,0)</f>
        <v>SU TANKERİ MERCEDES AXOR 3340 K 6X4</v>
      </c>
      <c r="J57" s="14" t="str">
        <f>VLOOKUP(B57,Sayfa2!A:AI,35,0)</f>
        <v>86181</v>
      </c>
      <c r="K57" s="14" t="str">
        <f>VLOOKUP(B57,Sayfa2!A:U,21,0)</f>
        <v>HN948649</v>
      </c>
      <c r="L57" s="15" t="str">
        <f>VLOOKUP(B57,Sayfa2!A:U,21,0)</f>
        <v>HN948649</v>
      </c>
    </row>
    <row r="58" spans="1:12" ht="28.2" thickBot="1">
      <c r="A58" s="1" t="str">
        <f>VLOOKUP(B58,Sayfa2!A:O,15,0)</f>
        <v>06DCY249</v>
      </c>
      <c r="B58" s="13" t="str">
        <f>Sayfa2!A59</f>
        <v>DK-150</v>
      </c>
      <c r="C58" s="2" t="str">
        <f>VLOOKUP(B58,Sayfa2!A:G,7,0)</f>
        <v>1035</v>
      </c>
      <c r="D58" s="2" t="str">
        <f>VLOOKUP(B58,Sayfa2!A:H,8,0)</f>
        <v>135</v>
      </c>
      <c r="E58" s="2" t="str">
        <f>VLOOKUP(B58,Sayfa2!A:I,9,0)</f>
        <v>10001035</v>
      </c>
      <c r="F58" s="2" t="str">
        <f>VLOOKUP(B58,Sayfa2!A:J,10,0)</f>
        <v>1035-01</v>
      </c>
      <c r="G58" s="13">
        <f t="shared" si="1"/>
        <v>702002</v>
      </c>
      <c r="H58" s="14" t="str">
        <f>VLOOKUP(B58,Sayfa2!A:K,11,0)</f>
        <v>KAMYON GRP</v>
      </c>
      <c r="I58" s="14" t="str">
        <f>VLOOKUP(B58,Sayfa2!A:N,13,0)</f>
        <v>DAMPERLİ KAMYON MERCEDES AROCS 4142K 8X4</v>
      </c>
      <c r="J58" s="14" t="str">
        <f>VLOOKUP(B58,Sayfa2!A:AI,35,0)</f>
        <v>471926C0406287</v>
      </c>
      <c r="K58" s="14" t="str">
        <f>VLOOKUP(B58,Sayfa2!A:U,21,0)</f>
        <v>IE099279</v>
      </c>
      <c r="L58" s="15" t="str">
        <f>VLOOKUP(B58,Sayfa2!A:U,21,0)</f>
        <v>IE099279</v>
      </c>
    </row>
    <row r="59" spans="1:12" ht="15" thickBot="1">
      <c r="A59" s="1" t="str">
        <f>VLOOKUP(B59,Sayfa2!A:O,15,0)</f>
        <v>06DSK765</v>
      </c>
      <c r="B59" s="13" t="str">
        <f>Sayfa2!A60</f>
        <v>DK-271</v>
      </c>
      <c r="C59" s="2" t="str">
        <f>VLOOKUP(B59,Sayfa2!A:G,7,0)</f>
        <v>1035</v>
      </c>
      <c r="D59" s="2" t="str">
        <f>VLOOKUP(B59,Sayfa2!A:H,8,0)</f>
        <v>135</v>
      </c>
      <c r="E59" s="2" t="str">
        <f>VLOOKUP(B59,Sayfa2!A:I,9,0)</f>
        <v>10001035</v>
      </c>
      <c r="F59" s="2" t="str">
        <f>VLOOKUP(B59,Sayfa2!A:J,10,0)</f>
        <v>1035-01</v>
      </c>
      <c r="G59" s="13">
        <f t="shared" si="1"/>
        <v>702002</v>
      </c>
      <c r="H59" s="14" t="str">
        <f>VLOOKUP(B59,Sayfa2!A:K,11,0)</f>
        <v>KAMYON GRP</v>
      </c>
      <c r="I59" s="14" t="str">
        <f>VLOOKUP(B59,Sayfa2!A:N,13,0)</f>
        <v>DAMPERLİ KAMYON FORD 1833</v>
      </c>
      <c r="J59" s="14" t="str">
        <f>VLOOKUP(B59,Sayfa2!A:AI,35,0)</f>
        <v>NS98689</v>
      </c>
      <c r="K59" s="14" t="str">
        <f>VLOOKUP(B59,Sayfa2!A:U,21,0)</f>
        <v>GN524209</v>
      </c>
      <c r="L59" s="15" t="str">
        <f>VLOOKUP(B59,Sayfa2!A:U,21,0)</f>
        <v>GN524209</v>
      </c>
    </row>
    <row r="60" spans="1:12" ht="28.2" thickBot="1">
      <c r="A60" s="1" t="str">
        <f>VLOOKUP(B60,Sayfa2!A:O,15,0)</f>
        <v>06FZF818</v>
      </c>
      <c r="B60" s="13" t="str">
        <f>Sayfa2!A61</f>
        <v>DK-393</v>
      </c>
      <c r="C60" s="2" t="str">
        <f>VLOOKUP(B60,Sayfa2!A:G,7,0)</f>
        <v>1035</v>
      </c>
      <c r="D60" s="2" t="str">
        <f>VLOOKUP(B60,Sayfa2!A:H,8,0)</f>
        <v>135</v>
      </c>
      <c r="E60" s="2" t="str">
        <f>VLOOKUP(B60,Sayfa2!A:I,9,0)</f>
        <v>10001035</v>
      </c>
      <c r="F60" s="2" t="str">
        <f>VLOOKUP(B60,Sayfa2!A:J,10,0)</f>
        <v>1035-01</v>
      </c>
      <c r="G60" s="13">
        <f t="shared" si="1"/>
        <v>702002</v>
      </c>
      <c r="H60" s="14" t="str">
        <f>VLOOKUP(B60,Sayfa2!A:K,11,0)</f>
        <v>KAMYON GRP</v>
      </c>
      <c r="I60" s="14" t="str">
        <f>VLOOKUP(B60,Sayfa2!A:N,13,0)</f>
        <v>DAMPERLİ KAMYON MERCEDES AROCS 4148 8X4</v>
      </c>
      <c r="J60" s="14" t="str">
        <f>VLOOKUP(B60,Sayfa2!A:AI,35,0)</f>
        <v>471943C1108143</v>
      </c>
      <c r="K60" s="14" t="str">
        <f>VLOOKUP(B60,Sayfa2!A:U,21,0)</f>
        <v>II355413</v>
      </c>
      <c r="L60" s="15" t="str">
        <f>VLOOKUP(B60,Sayfa2!A:U,21,0)</f>
        <v>II355413</v>
      </c>
    </row>
    <row r="61" spans="1:12" ht="28.2" thickBot="1">
      <c r="A61" s="1" t="str">
        <f>VLOOKUP(B61,Sayfa2!A:O,15,0)</f>
        <v>06GCZ938</v>
      </c>
      <c r="B61" s="13" t="str">
        <f>Sayfa2!A62</f>
        <v>DK-400</v>
      </c>
      <c r="C61" s="2" t="str">
        <f>VLOOKUP(B61,Sayfa2!A:G,7,0)</f>
        <v>1038</v>
      </c>
      <c r="D61" s="2" t="str">
        <f>VLOOKUP(B61,Sayfa2!A:H,8,0)</f>
        <v>138</v>
      </c>
      <c r="E61" s="2" t="str">
        <f>VLOOKUP(B61,Sayfa2!A:I,9,0)</f>
        <v>10001038</v>
      </c>
      <c r="F61" s="2" t="str">
        <f>VLOOKUP(B61,Sayfa2!A:J,10,0)</f>
        <v>1038-01</v>
      </c>
      <c r="G61" s="13">
        <f t="shared" si="1"/>
        <v>702002</v>
      </c>
      <c r="H61" s="14" t="str">
        <f>VLOOKUP(B61,Sayfa2!A:K,11,0)</f>
        <v>KAMYON GRP</v>
      </c>
      <c r="I61" s="14" t="str">
        <f>VLOOKUP(B61,Sayfa2!A:N,13,0)</f>
        <v>DAMPERLİ KAMYON MERCEDES- BENZ AROCS 414</v>
      </c>
      <c r="J61" s="14" t="str">
        <f>VLOOKUP(B61,Sayfa2!A:AI,35,0)</f>
        <v>471943C1125015</v>
      </c>
      <c r="K61" s="14" t="str">
        <f>VLOOKUP(B61,Sayfa2!A:U,21,0)</f>
        <v>IO732013</v>
      </c>
      <c r="L61" s="15" t="str">
        <f>VLOOKUP(B61,Sayfa2!A:U,21,0)</f>
        <v>IO732013</v>
      </c>
    </row>
    <row r="62" spans="1:12" ht="28.2" thickBot="1">
      <c r="A62" s="1" t="str">
        <f>VLOOKUP(B62,Sayfa2!A:O,15,0)</f>
        <v>06GCZ677</v>
      </c>
      <c r="B62" s="13" t="str">
        <f>Sayfa2!A63</f>
        <v>DK-401</v>
      </c>
      <c r="C62" s="2" t="str">
        <f>VLOOKUP(B62,Sayfa2!A:G,7,0)</f>
        <v>1038</v>
      </c>
      <c r="D62" s="2" t="str">
        <f>VLOOKUP(B62,Sayfa2!A:H,8,0)</f>
        <v>138</v>
      </c>
      <c r="E62" s="2" t="str">
        <f>VLOOKUP(B62,Sayfa2!A:I,9,0)</f>
        <v>10001038</v>
      </c>
      <c r="F62" s="2" t="str">
        <f>VLOOKUP(B62,Sayfa2!A:J,10,0)</f>
        <v>1038-01</v>
      </c>
      <c r="G62" s="13">
        <f t="shared" si="1"/>
        <v>702002</v>
      </c>
      <c r="H62" s="14" t="str">
        <f>VLOOKUP(B62,Sayfa2!A:K,11,0)</f>
        <v>KAMYON GRP</v>
      </c>
      <c r="I62" s="14" t="str">
        <f>VLOOKUP(B62,Sayfa2!A:N,13,0)</f>
        <v>DAMPERLİ KAMYON MERCEDES- BENZ AROCS 414</v>
      </c>
      <c r="J62" s="14" t="str">
        <f>VLOOKUP(B62,Sayfa2!A:AI,35,0)</f>
        <v>471943C1125614</v>
      </c>
      <c r="K62" s="14" t="str">
        <f>VLOOKUP(B62,Sayfa2!A:U,21,0)</f>
        <v>IO732008</v>
      </c>
      <c r="L62" s="15" t="str">
        <f>VLOOKUP(B62,Sayfa2!A:U,21,0)</f>
        <v>IO732008</v>
      </c>
    </row>
    <row r="63" spans="1:12" ht="28.2" thickBot="1">
      <c r="A63" s="1" t="str">
        <f>VLOOKUP(B63,Sayfa2!A:O,15,0)</f>
        <v>06GCZ907</v>
      </c>
      <c r="B63" s="13" t="str">
        <f>Sayfa2!A64</f>
        <v>DK-402</v>
      </c>
      <c r="C63" s="2" t="str">
        <f>VLOOKUP(B63,Sayfa2!A:G,7,0)</f>
        <v>1038</v>
      </c>
      <c r="D63" s="2" t="str">
        <f>VLOOKUP(B63,Sayfa2!A:H,8,0)</f>
        <v>138</v>
      </c>
      <c r="E63" s="2" t="str">
        <f>VLOOKUP(B63,Sayfa2!A:I,9,0)</f>
        <v>10001038</v>
      </c>
      <c r="F63" s="2" t="str">
        <f>VLOOKUP(B63,Sayfa2!A:J,10,0)</f>
        <v>1038-01</v>
      </c>
      <c r="G63" s="13">
        <f t="shared" si="1"/>
        <v>702002</v>
      </c>
      <c r="H63" s="14" t="str">
        <f>VLOOKUP(B63,Sayfa2!A:K,11,0)</f>
        <v>KAMYON GRP</v>
      </c>
      <c r="I63" s="14" t="str">
        <f>VLOOKUP(B63,Sayfa2!A:N,13,0)</f>
        <v>DAMPERLİ KAMYON MERCEDES- BENZ AROCS 414</v>
      </c>
      <c r="J63" s="14" t="str">
        <f>VLOOKUP(B63,Sayfa2!A:AI,35,0)</f>
        <v>471943C1125597</v>
      </c>
      <c r="K63" s="14" t="str">
        <f>VLOOKUP(B63,Sayfa2!A:U,21,0)</f>
        <v>IO732012</v>
      </c>
      <c r="L63" s="15" t="str">
        <f>VLOOKUP(B63,Sayfa2!A:U,21,0)</f>
        <v>IO732012</v>
      </c>
    </row>
    <row r="64" spans="1:12" ht="28.2" thickBot="1">
      <c r="A64" s="1" t="str">
        <f>VLOOKUP(B64,Sayfa2!A:O,15,0)</f>
        <v>06GCZ857</v>
      </c>
      <c r="B64" s="13" t="str">
        <f>Sayfa2!A65</f>
        <v>DK-403</v>
      </c>
      <c r="C64" s="2" t="str">
        <f>VLOOKUP(B64,Sayfa2!A:G,7,0)</f>
        <v>1038</v>
      </c>
      <c r="D64" s="2" t="str">
        <f>VLOOKUP(B64,Sayfa2!A:H,8,0)</f>
        <v>138</v>
      </c>
      <c r="E64" s="2" t="str">
        <f>VLOOKUP(B64,Sayfa2!A:I,9,0)</f>
        <v>10001038</v>
      </c>
      <c r="F64" s="2" t="str">
        <f>VLOOKUP(B64,Sayfa2!A:J,10,0)</f>
        <v>1038-01</v>
      </c>
      <c r="G64" s="13">
        <f t="shared" si="1"/>
        <v>702002</v>
      </c>
      <c r="H64" s="14" t="str">
        <f>VLOOKUP(B64,Sayfa2!A:K,11,0)</f>
        <v>KAMYON GRP</v>
      </c>
      <c r="I64" s="14" t="str">
        <f>VLOOKUP(B64,Sayfa2!A:N,13,0)</f>
        <v>DAMPERLİ KAMYON MERCEDES- BENZ AROCS 414</v>
      </c>
      <c r="J64" s="14" t="str">
        <f>VLOOKUP(B64,Sayfa2!A:AI,35,0)</f>
        <v>471943C1126156</v>
      </c>
      <c r="K64" s="14" t="str">
        <f>VLOOKUP(B64,Sayfa2!A:U,21,0)</f>
        <v>IO732004</v>
      </c>
      <c r="L64" s="15" t="str">
        <f>VLOOKUP(B64,Sayfa2!A:U,21,0)</f>
        <v>IO732004</v>
      </c>
    </row>
    <row r="65" spans="1:12" ht="28.2" thickBot="1">
      <c r="A65" s="1" t="str">
        <f>VLOOKUP(B65,Sayfa2!A:O,15,0)</f>
        <v>06GCZ762</v>
      </c>
      <c r="B65" s="13" t="str">
        <f>Sayfa2!A66</f>
        <v>DK-404</v>
      </c>
      <c r="C65" s="2" t="str">
        <f>VLOOKUP(B65,Sayfa2!A:G,7,0)</f>
        <v>1038</v>
      </c>
      <c r="D65" s="2" t="str">
        <f>VLOOKUP(B65,Sayfa2!A:H,8,0)</f>
        <v>138</v>
      </c>
      <c r="E65" s="2" t="str">
        <f>VLOOKUP(B65,Sayfa2!A:I,9,0)</f>
        <v>10001038</v>
      </c>
      <c r="F65" s="2" t="str">
        <f>VLOOKUP(B65,Sayfa2!A:J,10,0)</f>
        <v>1038-01</v>
      </c>
      <c r="G65" s="13">
        <f t="shared" si="1"/>
        <v>702002</v>
      </c>
      <c r="H65" s="14" t="str">
        <f>VLOOKUP(B65,Sayfa2!A:K,11,0)</f>
        <v>KAMYON GRP</v>
      </c>
      <c r="I65" s="14" t="str">
        <f>VLOOKUP(B65,Sayfa2!A:N,13,0)</f>
        <v>DAMPERLİ KAMYON MERCEDES- BENZ AROCS 414</v>
      </c>
      <c r="J65" s="14" t="str">
        <f>VLOOKUP(B65,Sayfa2!A:AI,35,0)</f>
        <v>471943C1126287</v>
      </c>
      <c r="K65" s="14" t="str">
        <f>VLOOKUP(B65,Sayfa2!A:U,21,0)</f>
        <v>IO732010</v>
      </c>
      <c r="L65" s="15" t="str">
        <f>VLOOKUP(B65,Sayfa2!A:U,21,0)</f>
        <v>IO732010</v>
      </c>
    </row>
    <row r="66" spans="1:12" ht="28.2" thickBot="1">
      <c r="A66" s="1" t="str">
        <f>VLOOKUP(B66,Sayfa2!A:O,15,0)</f>
        <v>06GCZ786</v>
      </c>
      <c r="B66" s="13" t="str">
        <f>Sayfa2!A67</f>
        <v>DK-405</v>
      </c>
      <c r="C66" s="2" t="str">
        <f>VLOOKUP(B66,Sayfa2!A:G,7,0)</f>
        <v>1038</v>
      </c>
      <c r="D66" s="2" t="str">
        <f>VLOOKUP(B66,Sayfa2!A:H,8,0)</f>
        <v>138</v>
      </c>
      <c r="E66" s="2" t="str">
        <f>VLOOKUP(B66,Sayfa2!A:I,9,0)</f>
        <v>10001038</v>
      </c>
      <c r="F66" s="2" t="str">
        <f>VLOOKUP(B66,Sayfa2!A:J,10,0)</f>
        <v>1038-01</v>
      </c>
      <c r="G66" s="13">
        <f t="shared" si="1"/>
        <v>702002</v>
      </c>
      <c r="H66" s="14" t="str">
        <f>VLOOKUP(B66,Sayfa2!A:K,11,0)</f>
        <v>KAMYON GRP</v>
      </c>
      <c r="I66" s="14" t="str">
        <f>VLOOKUP(B66,Sayfa2!A:N,13,0)</f>
        <v>DAMPERLİ KAMYON MERCEDES- BENZ AROCS 414</v>
      </c>
      <c r="J66" s="14" t="str">
        <f>VLOOKUP(B66,Sayfa2!A:AI,35,0)</f>
        <v>471943C1126001</v>
      </c>
      <c r="K66" s="14" t="str">
        <f>VLOOKUP(B66,Sayfa2!A:U,21,0)</f>
        <v>IO732005</v>
      </c>
      <c r="L66" s="15" t="str">
        <f>VLOOKUP(B66,Sayfa2!A:U,21,0)</f>
        <v>IO732005</v>
      </c>
    </row>
    <row r="67" spans="1:12" ht="28.2" thickBot="1">
      <c r="A67" s="1" t="str">
        <f>VLOOKUP(B67,Sayfa2!A:O,15,0)</f>
        <v>06GCZ820</v>
      </c>
      <c r="B67" s="13" t="str">
        <f>Sayfa2!A68</f>
        <v>DK-406</v>
      </c>
      <c r="C67" s="2" t="str">
        <f>VLOOKUP(B67,Sayfa2!A:G,7,0)</f>
        <v>1038</v>
      </c>
      <c r="D67" s="2" t="str">
        <f>VLOOKUP(B67,Sayfa2!A:H,8,0)</f>
        <v>138</v>
      </c>
      <c r="E67" s="2" t="str">
        <f>VLOOKUP(B67,Sayfa2!A:I,9,0)</f>
        <v>10001038</v>
      </c>
      <c r="F67" s="2" t="str">
        <f>VLOOKUP(B67,Sayfa2!A:J,10,0)</f>
        <v>1038-01</v>
      </c>
      <c r="G67" s="13">
        <f t="shared" si="1"/>
        <v>702002</v>
      </c>
      <c r="H67" s="14" t="str">
        <f>VLOOKUP(B67,Sayfa2!A:K,11,0)</f>
        <v>KAMYON GRP</v>
      </c>
      <c r="I67" s="14" t="str">
        <f>VLOOKUP(B67,Sayfa2!A:N,13,0)</f>
        <v>DAMPERLİ KAMYON MERCEDES- BENZ AROCS 414</v>
      </c>
      <c r="J67" s="14" t="str">
        <f>VLOOKUP(B67,Sayfa2!A:AI,35,0)</f>
        <v>471943C1126034</v>
      </c>
      <c r="K67" s="14" t="str">
        <f>VLOOKUP(B67,Sayfa2!A:U,21,0)</f>
        <v>IO732011</v>
      </c>
      <c r="L67" s="15" t="str">
        <f>VLOOKUP(B67,Sayfa2!A:U,21,0)</f>
        <v>IO732011</v>
      </c>
    </row>
    <row r="68" spans="1:12" ht="28.2" thickBot="1">
      <c r="A68" s="1" t="str">
        <f>VLOOKUP(B68,Sayfa2!A:O,15,0)</f>
        <v>06GCZ650</v>
      </c>
      <c r="B68" s="13" t="str">
        <f>Sayfa2!A69</f>
        <v>DK-407</v>
      </c>
      <c r="C68" s="2" t="str">
        <f>VLOOKUP(B68,Sayfa2!A:G,7,0)</f>
        <v>1038</v>
      </c>
      <c r="D68" s="2" t="str">
        <f>VLOOKUP(B68,Sayfa2!A:H,8,0)</f>
        <v>138</v>
      </c>
      <c r="E68" s="2" t="str">
        <f>VLOOKUP(B68,Sayfa2!A:I,9,0)</f>
        <v>10001038</v>
      </c>
      <c r="F68" s="2" t="str">
        <f>VLOOKUP(B68,Sayfa2!A:J,10,0)</f>
        <v>1038-01</v>
      </c>
      <c r="G68" s="13">
        <f t="shared" si="1"/>
        <v>702002</v>
      </c>
      <c r="H68" s="14" t="str">
        <f>VLOOKUP(B68,Sayfa2!A:K,11,0)</f>
        <v>KAMYON GRP</v>
      </c>
      <c r="I68" s="14" t="str">
        <f>VLOOKUP(B68,Sayfa2!A:N,13,0)</f>
        <v>DAMPERLİ KAMYON MERCEDES- BENZ AROCS 414</v>
      </c>
      <c r="J68" s="14" t="str">
        <f>VLOOKUP(B68,Sayfa2!A:AI,35,0)</f>
        <v>471943C1126283</v>
      </c>
      <c r="K68" s="14" t="str">
        <f>VLOOKUP(B68,Sayfa2!A:U,21,0)</f>
        <v>IO732007</v>
      </c>
      <c r="L68" s="15" t="str">
        <f>VLOOKUP(B68,Sayfa2!A:U,21,0)</f>
        <v>IO732007</v>
      </c>
    </row>
    <row r="69" spans="1:12" ht="28.2" thickBot="1">
      <c r="A69" s="1" t="str">
        <f>VLOOKUP(B69,Sayfa2!A:O,15,0)</f>
        <v>06GCZ574</v>
      </c>
      <c r="B69" s="13" t="str">
        <f>Sayfa2!A70</f>
        <v>DK-408</v>
      </c>
      <c r="C69" s="2" t="str">
        <f>VLOOKUP(B69,Sayfa2!A:G,7,0)</f>
        <v>1038</v>
      </c>
      <c r="D69" s="2" t="str">
        <f>VLOOKUP(B69,Sayfa2!A:H,8,0)</f>
        <v>138</v>
      </c>
      <c r="E69" s="2" t="str">
        <f>VLOOKUP(B69,Sayfa2!A:I,9,0)</f>
        <v>10001038</v>
      </c>
      <c r="F69" s="2" t="str">
        <f>VLOOKUP(B69,Sayfa2!A:J,10,0)</f>
        <v>1038-01</v>
      </c>
      <c r="G69" s="13">
        <f t="shared" si="1"/>
        <v>702002</v>
      </c>
      <c r="H69" s="14" t="str">
        <f>VLOOKUP(B69,Sayfa2!A:K,11,0)</f>
        <v>KAMYON GRP</v>
      </c>
      <c r="I69" s="14" t="str">
        <f>VLOOKUP(B69,Sayfa2!A:N,13,0)</f>
        <v>DAMPERLİ KAMYON MERCEDES- BENZ AROCS 414</v>
      </c>
      <c r="J69" s="14" t="str">
        <f>VLOOKUP(B69,Sayfa2!A:AI,35,0)</f>
        <v>471943C1126141</v>
      </c>
      <c r="K69" s="14" t="str">
        <f>VLOOKUP(B69,Sayfa2!A:U,21,0)</f>
        <v>IO732006</v>
      </c>
      <c r="L69" s="15" t="str">
        <f>VLOOKUP(B69,Sayfa2!A:U,21,0)</f>
        <v>IO732006</v>
      </c>
    </row>
    <row r="70" spans="1:12" ht="28.2" thickBot="1">
      <c r="A70" s="1" t="str">
        <f>VLOOKUP(B70,Sayfa2!A:O,15,0)</f>
        <v>06GCZ718</v>
      </c>
      <c r="B70" s="13" t="str">
        <f>Sayfa2!A71</f>
        <v>DK-409</v>
      </c>
      <c r="C70" s="2" t="str">
        <f>VLOOKUP(B70,Sayfa2!A:G,7,0)</f>
        <v>1038</v>
      </c>
      <c r="D70" s="2" t="str">
        <f>VLOOKUP(B70,Sayfa2!A:H,8,0)</f>
        <v>138</v>
      </c>
      <c r="E70" s="2" t="str">
        <f>VLOOKUP(B70,Sayfa2!A:I,9,0)</f>
        <v>10001038</v>
      </c>
      <c r="F70" s="2" t="str">
        <f>VLOOKUP(B70,Sayfa2!A:J,10,0)</f>
        <v>1038-01</v>
      </c>
      <c r="G70" s="13">
        <f t="shared" si="1"/>
        <v>702002</v>
      </c>
      <c r="H70" s="14" t="str">
        <f>VLOOKUP(B70,Sayfa2!A:K,11,0)</f>
        <v>KAMYON GRP</v>
      </c>
      <c r="I70" s="14" t="str">
        <f>VLOOKUP(B70,Sayfa2!A:N,13,0)</f>
        <v>DAMPERLİ KAMYON MERCEDES- BENZ AROCS 414</v>
      </c>
      <c r="J70" s="14" t="str">
        <f>VLOOKUP(B70,Sayfa2!A:AI,35,0)</f>
        <v>471943C1126153</v>
      </c>
      <c r="K70" s="14" t="str">
        <f>VLOOKUP(B70,Sayfa2!A:U,21,0)</f>
        <v>IO732009</v>
      </c>
      <c r="L70" s="15" t="str">
        <f>VLOOKUP(B70,Sayfa2!A:U,21,0)</f>
        <v>IO732009</v>
      </c>
    </row>
    <row r="71" spans="1:12" ht="28.2" thickBot="1">
      <c r="A71" s="1" t="str">
        <f>VLOOKUP(B71,Sayfa2!A:O,15,0)</f>
        <v>27FH665</v>
      </c>
      <c r="B71" s="13" t="str">
        <f>Sayfa2!A72</f>
        <v>MBV-002</v>
      </c>
      <c r="C71" s="2" t="str">
        <f>VLOOKUP(B71,Sayfa2!A:G,7,0)</f>
        <v>1035</v>
      </c>
      <c r="D71" s="2" t="str">
        <f>VLOOKUP(B71,Sayfa2!A:H,8,0)</f>
        <v>135</v>
      </c>
      <c r="E71" s="2" t="str">
        <f>VLOOKUP(B71,Sayfa2!A:I,9,0)</f>
        <v>10001035</v>
      </c>
      <c r="F71" s="2" t="str">
        <f>VLOOKUP(B71,Sayfa2!A:J,10,0)</f>
        <v>1035-01</v>
      </c>
      <c r="G71" s="13">
        <f t="shared" ref="G71:G112" si="2">IF(H71="BINEKARAC", 702001, IF(H71="CEKICI", 702002, IF(H71="KAMYON GRP", 702002, IF(H71="SERVISARAC", 702002, IF(H71="KAMYONET", 702011, 702003)))))</f>
        <v>702002</v>
      </c>
      <c r="H71" s="14" t="str">
        <f>VLOOKUP(B71,Sayfa2!A:K,11,0)</f>
        <v>KAMYON GRP</v>
      </c>
      <c r="I71" s="14" t="str">
        <f>VLOOKUP(B71,Sayfa2!A:N,13,0)</f>
        <v>MOBİL VİNÇFORD CARGO 520 LT-ACAR 115 TON</v>
      </c>
      <c r="J71" s="14" t="str">
        <f>VLOOKUP(B71,Sayfa2!A:AI,35,0)</f>
        <v>5A48345</v>
      </c>
      <c r="K71" s="14" t="str">
        <f>VLOOKUP(B71,Sayfa2!A:U,21,0)</f>
        <v>CV961324</v>
      </c>
      <c r="L71" s="15" t="str">
        <f>VLOOKUP(B71,Sayfa2!A:U,21,0)</f>
        <v>CV961324</v>
      </c>
    </row>
    <row r="72" spans="1:12" ht="28.2" thickBot="1">
      <c r="A72" s="1" t="str">
        <f>VLOOKUP(B72,Sayfa2!A:O,15,0)</f>
        <v>06BS3937</v>
      </c>
      <c r="B72" s="13" t="str">
        <f>Sayfa2!A73</f>
        <v>MBV-003</v>
      </c>
      <c r="C72" s="2" t="str">
        <f>VLOOKUP(B72,Sayfa2!A:G,7,0)</f>
        <v>1038</v>
      </c>
      <c r="D72" s="2" t="str">
        <f>VLOOKUP(B72,Sayfa2!A:H,8,0)</f>
        <v>138</v>
      </c>
      <c r="E72" s="2" t="str">
        <f>VLOOKUP(B72,Sayfa2!A:I,9,0)</f>
        <v>10001038</v>
      </c>
      <c r="F72" s="2" t="str">
        <f>VLOOKUP(B72,Sayfa2!A:J,10,0)</f>
        <v>1038-01</v>
      </c>
      <c r="G72" s="13">
        <f t="shared" si="2"/>
        <v>702002</v>
      </c>
      <c r="H72" s="14" t="str">
        <f>VLOOKUP(B72,Sayfa2!A:K,11,0)</f>
        <v>KAMYON GRP</v>
      </c>
      <c r="I72" s="14" t="str">
        <f>VLOOKUP(B72,Sayfa2!A:N,13,0)</f>
        <v>MOBİL VİNÇ MERCEDES 2921/48</v>
      </c>
      <c r="J72" s="14" t="str">
        <f>VLOOKUP(B72,Sayfa2!A:AI,35,0)</f>
        <v>NMB37126916016276</v>
      </c>
      <c r="K72" s="14" t="str">
        <f>VLOOKUP(B72,Sayfa2!A:U,21,0)</f>
        <v>GF399772-FU198815</v>
      </c>
      <c r="L72" s="15" t="str">
        <f>VLOOKUP(B72,Sayfa2!A:U,21,0)</f>
        <v>GF399772-FU198815</v>
      </c>
    </row>
    <row r="73" spans="1:12" ht="28.2" thickBot="1">
      <c r="A73" s="1" t="str">
        <f>VLOOKUP(B73,Sayfa2!A:O,15,0)</f>
        <v>06GC5501</v>
      </c>
      <c r="B73" s="13" t="str">
        <f>Sayfa2!A74</f>
        <v>MBV-005</v>
      </c>
      <c r="C73" s="2" t="str">
        <f>VLOOKUP(B73,Sayfa2!A:G,7,0)</f>
        <v>1035</v>
      </c>
      <c r="D73" s="2" t="str">
        <f>VLOOKUP(B73,Sayfa2!A:H,8,0)</f>
        <v>135</v>
      </c>
      <c r="E73" s="2" t="str">
        <f>VLOOKUP(B73,Sayfa2!A:I,9,0)</f>
        <v>10001035</v>
      </c>
      <c r="F73" s="2" t="str">
        <f>VLOOKUP(B73,Sayfa2!A:J,10,0)</f>
        <v>1035-01</v>
      </c>
      <c r="G73" s="13">
        <f t="shared" si="2"/>
        <v>702002</v>
      </c>
      <c r="H73" s="14" t="str">
        <f>VLOOKUP(B73,Sayfa2!A:K,11,0)</f>
        <v>KAMYON GRP</v>
      </c>
      <c r="I73" s="14" t="str">
        <f>VLOOKUP(B73,Sayfa2!A:N,13,0)</f>
        <v>MOBİL VİNÇ FORD CARGO 2524-ACAR 115 TON</v>
      </c>
      <c r="J73" s="14" t="str">
        <f>VLOOKUP(B73,Sayfa2!A:AI,35,0)</f>
        <v>5M45372</v>
      </c>
      <c r="K73" s="14" t="str">
        <f>VLOOKUP(B73,Sayfa2!A:U,21,0)</f>
        <v>IK571358</v>
      </c>
      <c r="L73" s="15" t="str">
        <f>VLOOKUP(B73,Sayfa2!A:U,21,0)</f>
        <v>IK571358</v>
      </c>
    </row>
    <row r="74" spans="1:12" ht="28.2" thickBot="1">
      <c r="A74" s="1" t="str">
        <f>VLOOKUP(B74,Sayfa2!A:O,15,0)</f>
        <v>16AT194</v>
      </c>
      <c r="B74" s="13" t="str">
        <f>Sayfa2!A75</f>
        <v>MBV-006</v>
      </c>
      <c r="C74" s="2" t="str">
        <f>VLOOKUP(B74,Sayfa2!A:G,7,0)</f>
        <v>1035</v>
      </c>
      <c r="D74" s="2" t="str">
        <f>VLOOKUP(B74,Sayfa2!A:H,8,0)</f>
        <v>135</v>
      </c>
      <c r="E74" s="2" t="str">
        <f>VLOOKUP(B74,Sayfa2!A:I,9,0)</f>
        <v>10001035</v>
      </c>
      <c r="F74" s="2" t="str">
        <f>VLOOKUP(B74,Sayfa2!A:J,10,0)</f>
        <v>1035-01</v>
      </c>
      <c r="G74" s="13">
        <f t="shared" si="2"/>
        <v>702002</v>
      </c>
      <c r="H74" s="14" t="str">
        <f>VLOOKUP(B74,Sayfa2!A:K,11,0)</f>
        <v>KAMYON GRP</v>
      </c>
      <c r="I74" s="14" t="str">
        <f>VLOOKUP(B74,Sayfa2!A:N,13,0)</f>
        <v>MOBİL VİNÇ MAN 39S MOBİL VİNÇ 75 TON</v>
      </c>
      <c r="J74" s="14" t="str">
        <f>VLOOKUP(B74,Sayfa2!A:AI,35,0)</f>
        <v>50532161533215</v>
      </c>
      <c r="K74" s="14" t="str">
        <f>VLOOKUP(B74,Sayfa2!A:U,21,0)</f>
        <v>GD520606</v>
      </c>
      <c r="L74" s="15" t="str">
        <f>VLOOKUP(B74,Sayfa2!A:U,21,0)</f>
        <v>GD520606</v>
      </c>
    </row>
    <row r="75" spans="1:12" ht="15" thickBot="1">
      <c r="A75" s="1" t="str">
        <f>VLOOKUP(B75,Sayfa2!A:O,15,0)</f>
        <v>06CBZ243</v>
      </c>
      <c r="B75" s="13" t="str">
        <f>Sayfa2!A76</f>
        <v>MBV-013</v>
      </c>
      <c r="C75" s="2" t="str">
        <f>VLOOKUP(B75,Sayfa2!A:G,7,0)</f>
        <v>1035</v>
      </c>
      <c r="D75" s="2" t="str">
        <f>VLOOKUP(B75,Sayfa2!A:H,8,0)</f>
        <v>135</v>
      </c>
      <c r="E75" s="2" t="str">
        <f>VLOOKUP(B75,Sayfa2!A:I,9,0)</f>
        <v>10001035</v>
      </c>
      <c r="F75" s="2" t="str">
        <f>VLOOKUP(B75,Sayfa2!A:J,10,0)</f>
        <v>1035-01</v>
      </c>
      <c r="G75" s="13">
        <f t="shared" si="2"/>
        <v>702002</v>
      </c>
      <c r="H75" s="14" t="str">
        <f>VLOOKUP(B75,Sayfa2!A:K,11,0)</f>
        <v>KAMYON GRP</v>
      </c>
      <c r="I75" s="14" t="str">
        <f>VLOOKUP(B75,Sayfa2!A:N,13,0)</f>
        <v>MOBİL VİNÇ FORD CARGO 3230</v>
      </c>
      <c r="J75" s="14" t="str">
        <f>VLOOKUP(B75,Sayfa2!A:AI,35,0)</f>
        <v>6S54910</v>
      </c>
      <c r="K75" s="14" t="str">
        <f>VLOOKUP(B75,Sayfa2!A:U,21,0)</f>
        <v>HU863089</v>
      </c>
      <c r="L75" s="15" t="str">
        <f>VLOOKUP(B75,Sayfa2!A:U,21,0)</f>
        <v>HU863089</v>
      </c>
    </row>
    <row r="76" spans="1:12" ht="15" thickBot="1">
      <c r="A76" s="1" t="str">
        <f>VLOOKUP(B76,Sayfa2!A:O,15,0)</f>
        <v>06FGV832</v>
      </c>
      <c r="B76" s="13" t="str">
        <f>Sayfa2!A77</f>
        <v>MBV-014</v>
      </c>
      <c r="C76" s="2" t="str">
        <f>VLOOKUP(B76,Sayfa2!A:G,7,0)</f>
        <v>1038</v>
      </c>
      <c r="D76" s="2" t="str">
        <f>VLOOKUP(B76,Sayfa2!A:H,8,0)</f>
        <v>138</v>
      </c>
      <c r="E76" s="2" t="str">
        <f>VLOOKUP(B76,Sayfa2!A:I,9,0)</f>
        <v>10001038</v>
      </c>
      <c r="F76" s="2" t="str">
        <f>VLOOKUP(B76,Sayfa2!A:J,10,0)</f>
        <v>1038-01</v>
      </c>
      <c r="G76" s="13">
        <f t="shared" si="2"/>
        <v>702002</v>
      </c>
      <c r="H76" s="14" t="str">
        <f>VLOOKUP(B76,Sayfa2!A:K,11,0)</f>
        <v>KAMYON GRP</v>
      </c>
      <c r="I76" s="14" t="str">
        <f>VLOOKUP(B76,Sayfa2!A:N,13,0)</f>
        <v>MOBİL VİNÇ MERCEDES-BENZ 2521</v>
      </c>
      <c r="J76" s="14" t="str">
        <f>VLOOKUP(B76,Sayfa2!A:AI,35,0)</f>
        <v>382919504000220</v>
      </c>
      <c r="K76" s="14" t="str">
        <f>VLOOKUP(B76,Sayfa2!A:U,21,0)</f>
        <v>HU863072</v>
      </c>
      <c r="L76" s="15" t="str">
        <f>VLOOKUP(B76,Sayfa2!A:U,21,0)</f>
        <v>HU863072</v>
      </c>
    </row>
    <row r="77" spans="1:12" ht="28.2" thickBot="1">
      <c r="A77" s="1" t="str">
        <f>VLOOKUP(B77,Sayfa2!A:O,15,0)</f>
        <v>81EH522</v>
      </c>
      <c r="B77" s="13" t="str">
        <f>Sayfa2!A78</f>
        <v>TRM-005</v>
      </c>
      <c r="C77" s="2" t="str">
        <f>VLOOKUP(B77,Sayfa2!A:G,7,0)</f>
        <v>1035</v>
      </c>
      <c r="D77" s="2" t="str">
        <f>VLOOKUP(B77,Sayfa2!A:H,8,0)</f>
        <v>135</v>
      </c>
      <c r="E77" s="2" t="str">
        <f>VLOOKUP(B77,Sayfa2!A:I,9,0)</f>
        <v>10001035</v>
      </c>
      <c r="F77" s="2" t="str">
        <f>VLOOKUP(B77,Sayfa2!A:J,10,0)</f>
        <v>1035-01</v>
      </c>
      <c r="G77" s="13">
        <f t="shared" si="2"/>
        <v>702002</v>
      </c>
      <c r="H77" s="14" t="str">
        <f>VLOOKUP(B77,Sayfa2!A:K,11,0)</f>
        <v>KAMYON GRP</v>
      </c>
      <c r="I77" s="14" t="str">
        <f>VLOOKUP(B77,Sayfa2!A:N,13,0)</f>
        <v>TRANSMİKSER MERCEDES AXOR 3029 8M3</v>
      </c>
      <c r="J77" s="14" t="str">
        <f>VLOOKUP(B77,Sayfa2!A:AI,35,0)</f>
        <v>90291500950285</v>
      </c>
      <c r="K77" s="14" t="str">
        <f>VLOOKUP(B77,Sayfa2!A:U,21,0)</f>
        <v>IK571357</v>
      </c>
      <c r="L77" s="15" t="str">
        <f>VLOOKUP(B77,Sayfa2!A:U,21,0)</f>
        <v>IK571357</v>
      </c>
    </row>
    <row r="78" spans="1:12" ht="28.2" thickBot="1">
      <c r="A78" s="1" t="str">
        <f>VLOOKUP(B78,Sayfa2!A:O,15,0)</f>
        <v>81EH524</v>
      </c>
      <c r="B78" s="13" t="str">
        <f>Sayfa2!A79</f>
        <v>TRM-006</v>
      </c>
      <c r="C78" s="2" t="str">
        <f>VLOOKUP(B78,Sayfa2!A:G,7,0)</f>
        <v>1035</v>
      </c>
      <c r="D78" s="2" t="str">
        <f>VLOOKUP(B78,Sayfa2!A:H,8,0)</f>
        <v>135</v>
      </c>
      <c r="E78" s="2" t="str">
        <f>VLOOKUP(B78,Sayfa2!A:I,9,0)</f>
        <v>10001035</v>
      </c>
      <c r="F78" s="2" t="str">
        <f>VLOOKUP(B78,Sayfa2!A:J,10,0)</f>
        <v>1035-01</v>
      </c>
      <c r="G78" s="13">
        <f t="shared" si="2"/>
        <v>702002</v>
      </c>
      <c r="H78" s="14" t="str">
        <f>VLOOKUP(B78,Sayfa2!A:K,11,0)</f>
        <v>KAMYON GRP</v>
      </c>
      <c r="I78" s="14" t="str">
        <f>VLOOKUP(B78,Sayfa2!A:N,13,0)</f>
        <v>TRANSMİKSER MERCEDES AXOR 3029 8M3</v>
      </c>
      <c r="J78" s="14" t="str">
        <f>VLOOKUP(B78,Sayfa2!A:AI,35,0)</f>
        <v>90291500941883</v>
      </c>
      <c r="K78" s="14" t="str">
        <f>VLOOKUP(B78,Sayfa2!A:U,21,0)</f>
        <v>IK571399</v>
      </c>
      <c r="L78" s="15" t="str">
        <f>VLOOKUP(B78,Sayfa2!A:U,21,0)</f>
        <v>IK571399</v>
      </c>
    </row>
    <row r="79" spans="1:12" ht="28.2" thickBot="1">
      <c r="A79" s="1" t="str">
        <f>VLOOKUP(B79,Sayfa2!A:O,15,0)</f>
        <v>06ELJ703</v>
      </c>
      <c r="B79" s="13" t="str">
        <f>Sayfa2!A80</f>
        <v>TRM-013</v>
      </c>
      <c r="C79" s="2" t="str">
        <f>VLOOKUP(B79,Sayfa2!A:G,7,0)</f>
        <v>1035</v>
      </c>
      <c r="D79" s="2" t="str">
        <f>VLOOKUP(B79,Sayfa2!A:H,8,0)</f>
        <v>135</v>
      </c>
      <c r="E79" s="2" t="str">
        <f>VLOOKUP(B79,Sayfa2!A:I,9,0)</f>
        <v>10001035</v>
      </c>
      <c r="F79" s="2" t="str">
        <f>VLOOKUP(B79,Sayfa2!A:J,10,0)</f>
        <v>1035-01</v>
      </c>
      <c r="G79" s="13">
        <f t="shared" si="2"/>
        <v>702002</v>
      </c>
      <c r="H79" s="14" t="str">
        <f>VLOOKUP(B79,Sayfa2!A:K,11,0)</f>
        <v>KAMYON GRP</v>
      </c>
      <c r="I79" s="14" t="str">
        <f>VLOOKUP(B79,Sayfa2!A:N,13,0)</f>
        <v>TRANSMİKSER MERCEDES AROCS 4142</v>
      </c>
      <c r="J79" s="14" t="str">
        <f>VLOOKUP(B79,Sayfa2!A:AI,35,0)</f>
        <v>471926C0598723</v>
      </c>
      <c r="K79" s="14" t="str">
        <f>VLOOKUP(B79,Sayfa2!A:U,21,0)</f>
        <v>HL362083</v>
      </c>
      <c r="L79" s="15" t="str">
        <f>VLOOKUP(B79,Sayfa2!A:U,21,0)</f>
        <v>HL362083</v>
      </c>
    </row>
    <row r="80" spans="1:12" ht="28.2" thickBot="1">
      <c r="A80" s="1" t="str">
        <f>VLOOKUP(B80,Sayfa2!A:O,15,0)</f>
        <v>06ELJ717</v>
      </c>
      <c r="B80" s="13" t="str">
        <f>Sayfa2!A81</f>
        <v>TRM-014</v>
      </c>
      <c r="C80" s="2" t="str">
        <f>VLOOKUP(B80,Sayfa2!A:G,7,0)</f>
        <v>1035</v>
      </c>
      <c r="D80" s="2" t="str">
        <f>VLOOKUP(B80,Sayfa2!A:H,8,0)</f>
        <v>135</v>
      </c>
      <c r="E80" s="2" t="str">
        <f>VLOOKUP(B80,Sayfa2!A:I,9,0)</f>
        <v>10001035</v>
      </c>
      <c r="F80" s="2" t="str">
        <f>VLOOKUP(B80,Sayfa2!A:J,10,0)</f>
        <v>1035-01</v>
      </c>
      <c r="G80" s="13">
        <f t="shared" si="2"/>
        <v>702002</v>
      </c>
      <c r="H80" s="14" t="str">
        <f>VLOOKUP(B80,Sayfa2!A:K,11,0)</f>
        <v>KAMYON GRP</v>
      </c>
      <c r="I80" s="14" t="str">
        <f>VLOOKUP(B80,Sayfa2!A:N,13,0)</f>
        <v>TRANSMİKSER MERCEDES AROCS 4142</v>
      </c>
      <c r="J80" s="14" t="str">
        <f>VLOOKUP(B80,Sayfa2!A:AI,35,0)</f>
        <v>471926C0600173</v>
      </c>
      <c r="K80" s="14" t="str">
        <f>VLOOKUP(B80,Sayfa2!A:U,21,0)</f>
        <v>HG502406</v>
      </c>
      <c r="L80" s="15" t="str">
        <f>VLOOKUP(B80,Sayfa2!A:U,21,0)</f>
        <v>HG502406</v>
      </c>
    </row>
    <row r="81" spans="1:12" ht="28.2" thickBot="1">
      <c r="A81" s="1" t="str">
        <f>VLOOKUP(B81,Sayfa2!A:O,15,0)</f>
        <v>06EYV182</v>
      </c>
      <c r="B81" s="13" t="str">
        <f>Sayfa2!A82</f>
        <v>TRM-017</v>
      </c>
      <c r="C81" s="2" t="str">
        <f>VLOOKUP(B81,Sayfa2!A:G,7,0)</f>
        <v>1035</v>
      </c>
      <c r="D81" s="2" t="str">
        <f>VLOOKUP(B81,Sayfa2!A:H,8,0)</f>
        <v>135</v>
      </c>
      <c r="E81" s="2" t="str">
        <f>VLOOKUP(B81,Sayfa2!A:I,9,0)</f>
        <v>10001035</v>
      </c>
      <c r="F81" s="2" t="str">
        <f>VLOOKUP(B81,Sayfa2!A:J,10,0)</f>
        <v>1035-01</v>
      </c>
      <c r="G81" s="13">
        <f t="shared" si="2"/>
        <v>702002</v>
      </c>
      <c r="H81" s="14" t="str">
        <f>VLOOKUP(B81,Sayfa2!A:K,11,0)</f>
        <v>KAMYON GRP</v>
      </c>
      <c r="I81" s="14" t="str">
        <f>VLOOKUP(B81,Sayfa2!A:N,13,0)</f>
        <v>TRANSMİKSER MERCEDES-BENZ AROCS 963-8-G</v>
      </c>
      <c r="J81" s="14" t="str">
        <f>VLOOKUP(B81,Sayfa2!A:AI,35,0)</f>
        <v>471943C0864706</v>
      </c>
      <c r="K81" s="14" t="str">
        <f>VLOOKUP(B81,Sayfa2!A:U,21,0)</f>
        <v>HN469649</v>
      </c>
      <c r="L81" s="15" t="str">
        <f>VLOOKUP(B81,Sayfa2!A:U,21,0)</f>
        <v>HN469649</v>
      </c>
    </row>
    <row r="82" spans="1:12" ht="28.2" thickBot="1">
      <c r="A82" s="1" t="str">
        <f>VLOOKUP(B82,Sayfa2!A:O,15,0)</f>
        <v>06EYV166</v>
      </c>
      <c r="B82" s="13" t="str">
        <f>Sayfa2!A83</f>
        <v>TRM-020</v>
      </c>
      <c r="C82" s="2" t="str">
        <f>VLOOKUP(B82,Sayfa2!A:G,7,0)</f>
        <v>1035</v>
      </c>
      <c r="D82" s="2" t="str">
        <f>VLOOKUP(B82,Sayfa2!A:H,8,0)</f>
        <v>135</v>
      </c>
      <c r="E82" s="2" t="str">
        <f>VLOOKUP(B82,Sayfa2!A:I,9,0)</f>
        <v>10001035</v>
      </c>
      <c r="F82" s="2" t="str">
        <f>VLOOKUP(B82,Sayfa2!A:J,10,0)</f>
        <v>1035-01</v>
      </c>
      <c r="G82" s="13">
        <f t="shared" si="2"/>
        <v>702002</v>
      </c>
      <c r="H82" s="14" t="str">
        <f>VLOOKUP(B82,Sayfa2!A:K,11,0)</f>
        <v>KAMYON GRP</v>
      </c>
      <c r="I82" s="14" t="str">
        <f>VLOOKUP(B82,Sayfa2!A:N,13,0)</f>
        <v>TRANSMİKSER MERCEDES-BENZ AROCS 963-8-G</v>
      </c>
      <c r="J82" s="14" t="str">
        <f>VLOOKUP(B82,Sayfa2!A:AI,35,0)</f>
        <v>471943C0862164</v>
      </c>
      <c r="K82" s="14" t="str">
        <f>VLOOKUP(B82,Sayfa2!A:U,21,0)</f>
        <v>HN469655</v>
      </c>
      <c r="L82" s="15" t="str">
        <f>VLOOKUP(B82,Sayfa2!A:U,21,0)</f>
        <v>HN469655</v>
      </c>
    </row>
    <row r="83" spans="1:12" ht="28.2" thickBot="1">
      <c r="A83" s="1" t="str">
        <f>VLOOKUP(B83,Sayfa2!A:O,15,0)</f>
        <v>06EYV160</v>
      </c>
      <c r="B83" s="13" t="str">
        <f>Sayfa2!A84</f>
        <v>TRM-024</v>
      </c>
      <c r="C83" s="2" t="str">
        <f>VLOOKUP(B83,Sayfa2!A:G,7,0)</f>
        <v>1035</v>
      </c>
      <c r="D83" s="2" t="str">
        <f>VLOOKUP(B83,Sayfa2!A:H,8,0)</f>
        <v>135</v>
      </c>
      <c r="E83" s="2" t="str">
        <f>VLOOKUP(B83,Sayfa2!A:I,9,0)</f>
        <v>10001035</v>
      </c>
      <c r="F83" s="2" t="str">
        <f>VLOOKUP(B83,Sayfa2!A:J,10,0)</f>
        <v>1035-01</v>
      </c>
      <c r="G83" s="13">
        <f t="shared" si="2"/>
        <v>702002</v>
      </c>
      <c r="H83" s="14" t="str">
        <f>VLOOKUP(B83,Sayfa2!A:K,11,0)</f>
        <v>KAMYON GRP</v>
      </c>
      <c r="I83" s="14" t="str">
        <f>VLOOKUP(B83,Sayfa2!A:N,13,0)</f>
        <v>TRANSMİKSER MERCEDES-BENZ AROCS 963-8-G</v>
      </c>
      <c r="J83" s="14" t="str">
        <f>VLOOKUP(B83,Sayfa2!A:AI,35,0)</f>
        <v>471943C0866657</v>
      </c>
      <c r="K83" s="14" t="str">
        <f>VLOOKUP(B83,Sayfa2!A:U,21,0)</f>
        <v>HN469648</v>
      </c>
      <c r="L83" s="15" t="str">
        <f>VLOOKUP(B83,Sayfa2!A:U,21,0)</f>
        <v>HN469648</v>
      </c>
    </row>
    <row r="84" spans="1:12" ht="15" thickBot="1">
      <c r="A84" s="1" t="str">
        <f>VLOOKUP(B84,Sayfa2!A:O,15,0)</f>
        <v>06DIH252</v>
      </c>
      <c r="B84" s="13" t="str">
        <f>Sayfa2!A85</f>
        <v>VAS-006</v>
      </c>
      <c r="C84" s="2" t="str">
        <f>VLOOKUP(B84,Sayfa2!A:G,7,0)</f>
        <v>1038</v>
      </c>
      <c r="D84" s="2" t="str">
        <f>VLOOKUP(B84,Sayfa2!A:H,8,0)</f>
        <v>138</v>
      </c>
      <c r="E84" s="2" t="str">
        <f>VLOOKUP(B84,Sayfa2!A:I,9,0)</f>
        <v>10001038</v>
      </c>
      <c r="F84" s="2" t="str">
        <f>VLOOKUP(B84,Sayfa2!A:J,10,0)</f>
        <v>1038-01</v>
      </c>
      <c r="G84" s="13">
        <f t="shared" si="2"/>
        <v>702002</v>
      </c>
      <c r="H84" s="14" t="str">
        <f>VLOOKUP(B84,Sayfa2!A:K,11,0)</f>
        <v>KAMYON GRP</v>
      </c>
      <c r="I84" s="14" t="str">
        <f>VLOOKUP(B84,Sayfa2!A:N,13,0)</f>
        <v>SU TANKERİ FUSO FE 85 KS</v>
      </c>
      <c r="J84" s="14" t="str">
        <f>VLOOKUP(B84,Sayfa2!A:AI,35,0)</f>
        <v>3686135</v>
      </c>
      <c r="K84" s="14" t="str">
        <f>VLOOKUP(B84,Sayfa2!A:U,21,0)</f>
        <v>IL760501</v>
      </c>
      <c r="L84" s="15" t="str">
        <f>VLOOKUP(B84,Sayfa2!A:U,21,0)</f>
        <v>IL760501</v>
      </c>
    </row>
    <row r="85" spans="1:12" ht="28.2" thickBot="1">
      <c r="A85" s="1" t="str">
        <f>VLOOKUP(B85,Sayfa2!A:O,15,0)</f>
        <v>06BYC689</v>
      </c>
      <c r="B85" s="13" t="str">
        <f>Sayfa2!A86</f>
        <v>KAM-467</v>
      </c>
      <c r="C85" s="2" t="str">
        <f>VLOOKUP(B85,Sayfa2!A:G,7,0)</f>
        <v>1035</v>
      </c>
      <c r="D85" s="2" t="str">
        <f>VLOOKUP(B85,Sayfa2!A:H,8,0)</f>
        <v>135</v>
      </c>
      <c r="E85" s="2" t="str">
        <f>VLOOKUP(B85,Sayfa2!A:I,9,0)</f>
        <v>10001035</v>
      </c>
      <c r="F85" s="2" t="str">
        <f>VLOOKUP(B85,Sayfa2!A:J,10,0)</f>
        <v>1035-01</v>
      </c>
      <c r="G85" s="13">
        <f t="shared" si="2"/>
        <v>702011</v>
      </c>
      <c r="H85" s="14" t="str">
        <f>VLOOKUP(B85,Sayfa2!A:K,11,0)</f>
        <v>KAMYONET</v>
      </c>
      <c r="I85" s="14" t="str">
        <f>VLOOKUP(B85,Sayfa2!A:N,13,0)</f>
        <v>KAMYONET FIAT FIORINO COMBI 1.3MJET 95HP</v>
      </c>
      <c r="J85" s="14" t="str">
        <f>VLOOKUP(B85,Sayfa2!A:AI,35,0)</f>
        <v>552837756940480</v>
      </c>
      <c r="K85" s="14" t="str">
        <f>VLOOKUP(B85,Sayfa2!A:U,21,0)</f>
        <v>IK623308</v>
      </c>
      <c r="L85" s="15" t="str">
        <f>VLOOKUP(B85,Sayfa2!A:U,21,0)</f>
        <v>IK623308</v>
      </c>
    </row>
    <row r="86" spans="1:12" ht="28.2" thickBot="1">
      <c r="A86" s="1" t="str">
        <f>VLOOKUP(B86,Sayfa2!A:O,15,0)</f>
        <v>06BYD239</v>
      </c>
      <c r="B86" s="13" t="str">
        <f>Sayfa2!A87</f>
        <v>KAM-502</v>
      </c>
      <c r="C86" s="2" t="str">
        <f>VLOOKUP(B86,Sayfa2!A:G,7,0)</f>
        <v>1035</v>
      </c>
      <c r="D86" s="2" t="str">
        <f>VLOOKUP(B86,Sayfa2!A:H,8,0)</f>
        <v>135</v>
      </c>
      <c r="E86" s="2" t="str">
        <f>VLOOKUP(B86,Sayfa2!A:I,9,0)</f>
        <v>10001035</v>
      </c>
      <c r="F86" s="2" t="str">
        <f>VLOOKUP(B86,Sayfa2!A:J,10,0)</f>
        <v>1035-01</v>
      </c>
      <c r="G86" s="13">
        <f t="shared" si="2"/>
        <v>702011</v>
      </c>
      <c r="H86" s="14" t="str">
        <f>VLOOKUP(B86,Sayfa2!A:K,11,0)</f>
        <v>KAMYONET</v>
      </c>
      <c r="I86" s="14" t="str">
        <f>VLOOKUP(B86,Sayfa2!A:N,13,0)</f>
        <v>KAMYONET FIAT FIORINO COMBI 1.3MJET 95HP</v>
      </c>
      <c r="J86" s="14" t="str">
        <f>VLOOKUP(B86,Sayfa2!A:AI,35,0)</f>
        <v>552837756985589</v>
      </c>
      <c r="K86" s="14" t="str">
        <f>VLOOKUP(B86,Sayfa2!A:U,21,0)</f>
        <v>IK571354</v>
      </c>
      <c r="L86" s="15" t="str">
        <f>VLOOKUP(B86,Sayfa2!A:U,21,0)</f>
        <v>IK571354</v>
      </c>
    </row>
    <row r="87" spans="1:12" ht="28.2" thickBot="1">
      <c r="A87" s="1" t="str">
        <f>VLOOKUP(B87,Sayfa2!A:O,15,0)</f>
        <v>34DLL387</v>
      </c>
      <c r="B87" s="13" t="str">
        <f>Sayfa2!A88</f>
        <v>PUP-109</v>
      </c>
      <c r="C87" s="2" t="str">
        <f>VLOOKUP(B87,Sayfa2!A:G,7,0)</f>
        <v>1035</v>
      </c>
      <c r="D87" s="2" t="str">
        <f>VLOOKUP(B87,Sayfa2!A:H,8,0)</f>
        <v>135</v>
      </c>
      <c r="E87" s="2" t="str">
        <f>VLOOKUP(B87,Sayfa2!A:I,9,0)</f>
        <v>10001035</v>
      </c>
      <c r="F87" s="2" t="str">
        <f>VLOOKUP(B87,Sayfa2!A:J,10,0)</f>
        <v>1035-01</v>
      </c>
      <c r="G87" s="13">
        <f t="shared" si="2"/>
        <v>702011</v>
      </c>
      <c r="H87" s="14" t="str">
        <f>VLOOKUP(B87,Sayfa2!A:K,11,0)</f>
        <v>KAMYONET</v>
      </c>
      <c r="I87" s="14" t="str">
        <f>VLOOKUP(B87,Sayfa2!A:N,13,0)</f>
        <v>PICK-UP FORD TRANSIT 350M ÇIFT KABIN</v>
      </c>
      <c r="J87" s="14" t="str">
        <f>VLOOKUP(B87,Sayfa2!A:AI,35,0)</f>
        <v>LY66608</v>
      </c>
      <c r="K87" s="14" t="str">
        <f>VLOOKUP(B87,Sayfa2!A:U,21,0)</f>
        <v>GG837672</v>
      </c>
      <c r="L87" s="15" t="str">
        <f>VLOOKUP(B87,Sayfa2!A:U,21,0)</f>
        <v>GG837672</v>
      </c>
    </row>
    <row r="88" spans="1:12" ht="28.2" thickBot="1">
      <c r="A88" s="1" t="str">
        <f>VLOOKUP(B88,Sayfa2!A:O,15,0)</f>
        <v>34BTT867</v>
      </c>
      <c r="B88" s="13" t="str">
        <f>Sayfa2!A89</f>
        <v>PUP-111</v>
      </c>
      <c r="C88" s="2" t="str">
        <f>VLOOKUP(B88,Sayfa2!A:G,7,0)</f>
        <v>1035</v>
      </c>
      <c r="D88" s="2" t="str">
        <f>VLOOKUP(B88,Sayfa2!A:H,8,0)</f>
        <v>135</v>
      </c>
      <c r="E88" s="2" t="str">
        <f>VLOOKUP(B88,Sayfa2!A:I,9,0)</f>
        <v>10001035</v>
      </c>
      <c r="F88" s="2" t="str">
        <f>VLOOKUP(B88,Sayfa2!A:J,10,0)</f>
        <v>1035-01</v>
      </c>
      <c r="G88" s="13">
        <f t="shared" si="2"/>
        <v>702011</v>
      </c>
      <c r="H88" s="14" t="str">
        <f>VLOOKUP(B88,Sayfa2!A:K,11,0)</f>
        <v>KAMYONET</v>
      </c>
      <c r="I88" s="14" t="str">
        <f>VLOOKUP(B88,Sayfa2!A:N,13,0)</f>
        <v>PICK-UP FORD TRANSIT 350M ÇIFT KABIN</v>
      </c>
      <c r="J88" s="14" t="str">
        <f>VLOOKUP(B88,Sayfa2!A:AI,35,0)</f>
        <v>KC23877</v>
      </c>
      <c r="K88" s="14" t="str">
        <f>VLOOKUP(B88,Sayfa2!A:U,21,0)</f>
        <v>GG837676</v>
      </c>
      <c r="L88" s="15" t="str">
        <f>VLOOKUP(B88,Sayfa2!A:U,21,0)</f>
        <v>GG837676</v>
      </c>
    </row>
    <row r="89" spans="1:12" ht="28.2" thickBot="1">
      <c r="A89" s="1" t="str">
        <f>VLOOKUP(B89,Sayfa2!A:O,15,0)</f>
        <v>06EZV135</v>
      </c>
      <c r="B89" s="13" t="str">
        <f>Sayfa2!A90</f>
        <v>PUP-120</v>
      </c>
      <c r="C89" s="2" t="str">
        <f>VLOOKUP(B89,Sayfa2!A:G,7,0)</f>
        <v>1035</v>
      </c>
      <c r="D89" s="2" t="str">
        <f>VLOOKUP(B89,Sayfa2!A:H,8,0)</f>
        <v>135</v>
      </c>
      <c r="E89" s="2" t="str">
        <f>VLOOKUP(B89,Sayfa2!A:I,9,0)</f>
        <v>10001035</v>
      </c>
      <c r="F89" s="2" t="str">
        <f>VLOOKUP(B89,Sayfa2!A:J,10,0)</f>
        <v>1035-01</v>
      </c>
      <c r="G89" s="13">
        <f t="shared" si="2"/>
        <v>702011</v>
      </c>
      <c r="H89" s="14" t="str">
        <f>VLOOKUP(B89,Sayfa2!A:K,11,0)</f>
        <v>KAMYONET</v>
      </c>
      <c r="I89" s="14" t="str">
        <f>VLOOKUP(B89,Sayfa2!A:N,13,0)</f>
        <v>TRANSİT 350M ÇİFT KABİN ECOBLUE 165PS EU</v>
      </c>
      <c r="J89" s="14" t="str">
        <f>VLOOKUP(B89,Sayfa2!A:AI,35,0)</f>
        <v>RS06243</v>
      </c>
      <c r="K89" s="14" t="str">
        <f>VLOOKUP(B89,Sayfa2!A:U,21,0)</f>
        <v>HP075652</v>
      </c>
      <c r="L89" s="15" t="str">
        <f>VLOOKUP(B89,Sayfa2!A:U,21,0)</f>
        <v>HP075652</v>
      </c>
    </row>
    <row r="90" spans="1:12" ht="15" thickBot="1">
      <c r="A90" s="1" t="str">
        <f>VLOOKUP(B90,Sayfa2!A:O,15,0)</f>
        <v>06GCY249</v>
      </c>
      <c r="B90" s="13" t="str">
        <f>Sayfa2!A91</f>
        <v>PUP-124</v>
      </c>
      <c r="C90" s="2" t="str">
        <f>VLOOKUP(B90,Sayfa2!A:G,7,0)</f>
        <v>1038</v>
      </c>
      <c r="D90" s="2" t="str">
        <f>VLOOKUP(B90,Sayfa2!A:H,8,0)</f>
        <v>138</v>
      </c>
      <c r="E90" s="2" t="str">
        <f>VLOOKUP(B90,Sayfa2!A:I,9,0)</f>
        <v>10001038</v>
      </c>
      <c r="F90" s="2" t="str">
        <f>VLOOKUP(B90,Sayfa2!A:J,10,0)</f>
        <v>1038-01</v>
      </c>
      <c r="G90" s="13">
        <f t="shared" si="2"/>
        <v>702011</v>
      </c>
      <c r="H90" s="14" t="str">
        <f>VLOOKUP(B90,Sayfa2!A:K,11,0)</f>
        <v>KAMYONET</v>
      </c>
      <c r="I90" s="14" t="str">
        <f>VLOOKUP(B90,Sayfa2!A:N,13,0)</f>
        <v>PICK-UP ISUZU D-MAX 4X2 V-LIFE AT</v>
      </c>
      <c r="J90" s="14" t="str">
        <f>VLOOKUP(B90,Sayfa2!A:AI,35,0)</f>
        <v>FRC681</v>
      </c>
      <c r="K90" s="14" t="str">
        <f>VLOOKUP(B90,Sayfa2!A:U,21,0)</f>
        <v>IL761919</v>
      </c>
      <c r="L90" s="15" t="str">
        <f>VLOOKUP(B90,Sayfa2!A:U,21,0)</f>
        <v>IL761919</v>
      </c>
    </row>
    <row r="91" spans="1:12" ht="15" thickBot="1">
      <c r="A91" s="1" t="str">
        <f>VLOOKUP(B91,Sayfa2!A:O,15,0)</f>
        <v>06GCY265</v>
      </c>
      <c r="B91" s="13" t="str">
        <f>Sayfa2!A92</f>
        <v>PUP-125</v>
      </c>
      <c r="C91" s="2" t="str">
        <f>VLOOKUP(B91,Sayfa2!A:G,7,0)</f>
        <v>1038</v>
      </c>
      <c r="D91" s="2" t="str">
        <f>VLOOKUP(B91,Sayfa2!A:H,8,0)</f>
        <v>138</v>
      </c>
      <c r="E91" s="2" t="str">
        <f>VLOOKUP(B91,Sayfa2!A:I,9,0)</f>
        <v>10001038</v>
      </c>
      <c r="F91" s="2" t="str">
        <f>VLOOKUP(B91,Sayfa2!A:J,10,0)</f>
        <v>1038-01</v>
      </c>
      <c r="G91" s="13">
        <f t="shared" si="2"/>
        <v>702011</v>
      </c>
      <c r="H91" s="14" t="str">
        <f>VLOOKUP(B91,Sayfa2!A:K,11,0)</f>
        <v>KAMYONET</v>
      </c>
      <c r="I91" s="14" t="str">
        <f>VLOOKUP(B91,Sayfa2!A:N,13,0)</f>
        <v>PICK-UP ISUZU D-MAX 4X2 V-LIFE AT</v>
      </c>
      <c r="J91" s="14" t="str">
        <f>VLOOKUP(B91,Sayfa2!A:AI,35,0)</f>
        <v>FRC674</v>
      </c>
      <c r="K91" s="14" t="str">
        <f>VLOOKUP(B91,Sayfa2!A:U,21,0)</f>
        <v>IL732108</v>
      </c>
      <c r="L91" s="15" t="str">
        <f>VLOOKUP(B91,Sayfa2!A:U,21,0)</f>
        <v>IL732108</v>
      </c>
    </row>
    <row r="92" spans="1:12" ht="15" thickBot="1">
      <c r="A92" s="1" t="str">
        <f>VLOOKUP(B92,Sayfa2!A:O,15,0)</f>
        <v>06GCY285</v>
      </c>
      <c r="B92" s="13" t="str">
        <f>Sayfa2!A93</f>
        <v>PUP-126</v>
      </c>
      <c r="C92" s="2" t="str">
        <f>VLOOKUP(B92,Sayfa2!A:G,7,0)</f>
        <v>1038</v>
      </c>
      <c r="D92" s="2" t="str">
        <f>VLOOKUP(B92,Sayfa2!A:H,8,0)</f>
        <v>138</v>
      </c>
      <c r="E92" s="2" t="str">
        <f>VLOOKUP(B92,Sayfa2!A:I,9,0)</f>
        <v>10001038</v>
      </c>
      <c r="F92" s="2" t="str">
        <f>VLOOKUP(B92,Sayfa2!A:J,10,0)</f>
        <v>1038-01</v>
      </c>
      <c r="G92" s="13">
        <f t="shared" si="2"/>
        <v>702011</v>
      </c>
      <c r="H92" s="14" t="str">
        <f>VLOOKUP(B92,Sayfa2!A:K,11,0)</f>
        <v>KAMYONET</v>
      </c>
      <c r="I92" s="14" t="str">
        <f>VLOOKUP(B92,Sayfa2!A:N,13,0)</f>
        <v>PICK-UP ISUZU D-MAX 4X2 V-LIFE AT</v>
      </c>
      <c r="J92" s="14" t="str">
        <f>VLOOKUP(B92,Sayfa2!A:AI,35,0)</f>
        <v>FRC673</v>
      </c>
      <c r="K92" s="14" t="str">
        <f>VLOOKUP(B92,Sayfa2!A:U,21,0)</f>
        <v>IL761920</v>
      </c>
      <c r="L92" s="15" t="str">
        <f>VLOOKUP(B92,Sayfa2!A:U,21,0)</f>
        <v>IL761920</v>
      </c>
    </row>
    <row r="93" spans="1:12" ht="15" thickBot="1">
      <c r="A93" s="1" t="str">
        <f>VLOOKUP(B93,Sayfa2!A:O,15,0)</f>
        <v>06GCY318</v>
      </c>
      <c r="B93" s="13" t="str">
        <f>Sayfa2!A94</f>
        <v>PUP-128</v>
      </c>
      <c r="C93" s="2" t="str">
        <f>VLOOKUP(B93,Sayfa2!A:G,7,0)</f>
        <v>1038</v>
      </c>
      <c r="D93" s="2" t="str">
        <f>VLOOKUP(B93,Sayfa2!A:H,8,0)</f>
        <v>138</v>
      </c>
      <c r="E93" s="2" t="str">
        <f>VLOOKUP(B93,Sayfa2!A:I,9,0)</f>
        <v>10001038</v>
      </c>
      <c r="F93" s="2" t="str">
        <f>VLOOKUP(B93,Sayfa2!A:J,10,0)</f>
        <v>1038-01</v>
      </c>
      <c r="G93" s="13">
        <f t="shared" si="2"/>
        <v>702011</v>
      </c>
      <c r="H93" s="14" t="str">
        <f>VLOOKUP(B93,Sayfa2!A:K,11,0)</f>
        <v>KAMYONET</v>
      </c>
      <c r="I93" s="14" t="str">
        <f>VLOOKUP(B93,Sayfa2!A:N,13,0)</f>
        <v>PICK-UP ISUZU D-MAX 4X2 V-LIFE AT</v>
      </c>
      <c r="J93" s="14" t="str">
        <f>VLOOKUP(B93,Sayfa2!A:AI,35,0)</f>
        <v>FRC680</v>
      </c>
      <c r="K93" s="14" t="str">
        <f>VLOOKUP(B93,Sayfa2!A:U,21,0)</f>
        <v>IL761922</v>
      </c>
      <c r="L93" s="15" t="str">
        <f>VLOOKUP(B93,Sayfa2!A:U,21,0)</f>
        <v>IL761922</v>
      </c>
    </row>
    <row r="94" spans="1:12" ht="15" thickBot="1">
      <c r="A94" s="1" t="str">
        <f>VLOOKUP(B94,Sayfa2!A:O,15,0)</f>
        <v>06GCY453</v>
      </c>
      <c r="B94" s="13" t="str">
        <f>Sayfa2!A95</f>
        <v>PUP-130</v>
      </c>
      <c r="C94" s="2" t="str">
        <f>VLOOKUP(B94,Sayfa2!A:G,7,0)</f>
        <v>1038</v>
      </c>
      <c r="D94" s="2" t="str">
        <f>VLOOKUP(B94,Sayfa2!A:H,8,0)</f>
        <v>138</v>
      </c>
      <c r="E94" s="2" t="str">
        <f>VLOOKUP(B94,Sayfa2!A:I,9,0)</f>
        <v>10001038</v>
      </c>
      <c r="F94" s="2" t="str">
        <f>VLOOKUP(B94,Sayfa2!A:J,10,0)</f>
        <v>1038-01</v>
      </c>
      <c r="G94" s="13">
        <f t="shared" si="2"/>
        <v>702011</v>
      </c>
      <c r="H94" s="14" t="str">
        <f>VLOOKUP(B94,Sayfa2!A:K,11,0)</f>
        <v>KAMYONET</v>
      </c>
      <c r="I94" s="14" t="str">
        <f>VLOOKUP(B94,Sayfa2!A:N,13,0)</f>
        <v>PICK-UP ISUZU D-MAX 4X2 V-LIFE AT</v>
      </c>
      <c r="J94" s="14" t="str">
        <f>VLOOKUP(B94,Sayfa2!A:AI,35,0)</f>
        <v>FPW325</v>
      </c>
      <c r="K94" s="14" t="str">
        <f>VLOOKUP(B94,Sayfa2!A:U,21,0)</f>
        <v>IO732110</v>
      </c>
      <c r="L94" s="15" t="str">
        <f>VLOOKUP(B94,Sayfa2!A:U,21,0)</f>
        <v>IO732110</v>
      </c>
    </row>
    <row r="95" spans="1:12" ht="15" thickBot="1">
      <c r="A95" s="1" t="str">
        <f>VLOOKUP(B95,Sayfa2!A:O,15,0)</f>
        <v>06GCY472</v>
      </c>
      <c r="B95" s="13" t="str">
        <f>Sayfa2!A96</f>
        <v>PUP-131</v>
      </c>
      <c r="C95" s="2" t="str">
        <f>VLOOKUP(B95,Sayfa2!A:G,7,0)</f>
        <v>1038</v>
      </c>
      <c r="D95" s="2" t="str">
        <f>VLOOKUP(B95,Sayfa2!A:H,8,0)</f>
        <v>138</v>
      </c>
      <c r="E95" s="2" t="str">
        <f>VLOOKUP(B95,Sayfa2!A:I,9,0)</f>
        <v>10001038</v>
      </c>
      <c r="F95" s="2" t="str">
        <f>VLOOKUP(B95,Sayfa2!A:J,10,0)</f>
        <v>1038-01</v>
      </c>
      <c r="G95" s="13">
        <f t="shared" si="2"/>
        <v>702011</v>
      </c>
      <c r="H95" s="14" t="str">
        <f>VLOOKUP(B95,Sayfa2!A:K,11,0)</f>
        <v>KAMYONET</v>
      </c>
      <c r="I95" s="14" t="str">
        <f>VLOOKUP(B95,Sayfa2!A:N,13,0)</f>
        <v>PICK-UP ISUZU D-MAX 4X2 V-LIFE AT</v>
      </c>
      <c r="J95" s="14" t="str">
        <f>VLOOKUP(B95,Sayfa2!A:AI,35,0)</f>
        <v>FPW332</v>
      </c>
      <c r="K95" s="14" t="str">
        <f>VLOOKUP(B95,Sayfa2!A:U,21,0)</f>
        <v>IL761918</v>
      </c>
      <c r="L95" s="15" t="str">
        <f>VLOOKUP(B95,Sayfa2!A:U,21,0)</f>
        <v>IL761918</v>
      </c>
    </row>
    <row r="96" spans="1:12" ht="28.2" thickBot="1">
      <c r="A96" s="1" t="str">
        <f>VLOOKUP(B96,Sayfa2!A:O,15,0)</f>
        <v>06GCY687</v>
      </c>
      <c r="B96" s="13" t="str">
        <f>Sayfa2!A97</f>
        <v>PUP-133</v>
      </c>
      <c r="C96" s="2" t="str">
        <f>VLOOKUP(B96,Sayfa2!A:G,7,0)</f>
        <v>1038</v>
      </c>
      <c r="D96" s="2" t="str">
        <f>VLOOKUP(B96,Sayfa2!A:H,8,0)</f>
        <v>138</v>
      </c>
      <c r="E96" s="2" t="str">
        <f>VLOOKUP(B96,Sayfa2!A:I,9,0)</f>
        <v>10001038</v>
      </c>
      <c r="F96" s="2" t="str">
        <f>VLOOKUP(B96,Sayfa2!A:J,10,0)</f>
        <v>1038-01</v>
      </c>
      <c r="G96" s="13">
        <f t="shared" si="2"/>
        <v>702011</v>
      </c>
      <c r="H96" s="14" t="str">
        <f>VLOOKUP(B96,Sayfa2!A:K,11,0)</f>
        <v>KAMYONET</v>
      </c>
      <c r="I96" s="14" t="str">
        <f>VLOOKUP(B96,Sayfa2!A:N,13,0)</f>
        <v>PICK-UP FORD TRANSİT 350M ÇİFT KABİN ECO</v>
      </c>
      <c r="J96" s="14" t="str">
        <f>VLOOKUP(B96,Sayfa2!A:AI,35,0)</f>
        <v>TM04888</v>
      </c>
      <c r="K96" s="14" t="str">
        <f>VLOOKUP(B96,Sayfa2!A:U,21,0)</f>
        <v>IN871109</v>
      </c>
      <c r="L96" s="15" t="str">
        <f>VLOOKUP(B96,Sayfa2!A:U,21,0)</f>
        <v>IN871109</v>
      </c>
    </row>
    <row r="97" spans="1:12" ht="28.2" thickBot="1">
      <c r="A97" s="1" t="str">
        <f>VLOOKUP(B97,Sayfa2!A:O,15,0)</f>
        <v>06GCY685</v>
      </c>
      <c r="B97" s="13" t="str">
        <f>Sayfa2!A98</f>
        <v>PUP-135</v>
      </c>
      <c r="C97" s="2" t="str">
        <f>VLOOKUP(B97,Sayfa2!A:G,7,0)</f>
        <v>1038</v>
      </c>
      <c r="D97" s="2" t="str">
        <f>VLOOKUP(B97,Sayfa2!A:H,8,0)</f>
        <v>138</v>
      </c>
      <c r="E97" s="2" t="str">
        <f>VLOOKUP(B97,Sayfa2!A:I,9,0)</f>
        <v>10001038</v>
      </c>
      <c r="F97" s="2" t="str">
        <f>VLOOKUP(B97,Sayfa2!A:J,10,0)</f>
        <v>1038-01</v>
      </c>
      <c r="G97" s="13">
        <f t="shared" si="2"/>
        <v>702011</v>
      </c>
      <c r="H97" s="14" t="str">
        <f>VLOOKUP(B97,Sayfa2!A:K,11,0)</f>
        <v>KAMYONET</v>
      </c>
      <c r="I97" s="14" t="str">
        <f>VLOOKUP(B97,Sayfa2!A:N,13,0)</f>
        <v>PICK-UP FORD TRANSİT 350M ÇİFT KABİN ECO</v>
      </c>
      <c r="J97" s="14" t="str">
        <f>VLOOKUP(B97,Sayfa2!A:AI,35,0)</f>
        <v>NM0CXXTT8CTM04915</v>
      </c>
      <c r="K97" s="14" t="str">
        <f>VLOOKUP(B97,Sayfa2!A:U,21,0)</f>
        <v>IN871111</v>
      </c>
      <c r="L97" s="15" t="str">
        <f>VLOOKUP(B97,Sayfa2!A:U,21,0)</f>
        <v>IN871111</v>
      </c>
    </row>
    <row r="98" spans="1:12" ht="28.2" thickBot="1">
      <c r="A98" s="1" t="str">
        <f>VLOOKUP(B98,Sayfa2!A:O,15,0)</f>
        <v>06GCY682</v>
      </c>
      <c r="B98" s="13" t="str">
        <f>Sayfa2!A99</f>
        <v>PUP-137</v>
      </c>
      <c r="C98" s="2" t="str">
        <f>VLOOKUP(B98,Sayfa2!A:G,7,0)</f>
        <v>1038</v>
      </c>
      <c r="D98" s="2" t="str">
        <f>VLOOKUP(B98,Sayfa2!A:H,8,0)</f>
        <v>138</v>
      </c>
      <c r="E98" s="2" t="str">
        <f>VLOOKUP(B98,Sayfa2!A:I,9,0)</f>
        <v>10001038</v>
      </c>
      <c r="F98" s="2" t="str">
        <f>VLOOKUP(B98,Sayfa2!A:J,10,0)</f>
        <v>1038-01</v>
      </c>
      <c r="G98" s="13">
        <f t="shared" si="2"/>
        <v>702011</v>
      </c>
      <c r="H98" s="14" t="str">
        <f>VLOOKUP(B98,Sayfa2!A:K,11,0)</f>
        <v>KAMYONET</v>
      </c>
      <c r="I98" s="14" t="str">
        <f>VLOOKUP(B98,Sayfa2!A:N,13,0)</f>
        <v>PICK-UP FORD TRANSİT 350M ÇİFT KABİN ECO</v>
      </c>
      <c r="J98" s="14" t="str">
        <f>VLOOKUP(B98,Sayfa2!A:AI,35,0)</f>
        <v>TM04929</v>
      </c>
      <c r="K98" s="14" t="str">
        <f>VLOOKUP(B98,Sayfa2!A:U,21,0)</f>
        <v>IN871105</v>
      </c>
      <c r="L98" s="15" t="str">
        <f>VLOOKUP(B98,Sayfa2!A:U,21,0)</f>
        <v>IN871105</v>
      </c>
    </row>
    <row r="99" spans="1:12" ht="28.2" thickBot="1">
      <c r="A99" s="1" t="str">
        <f>VLOOKUP(B99,Sayfa2!A:O,15,0)</f>
        <v>06GCY680</v>
      </c>
      <c r="B99" s="13" t="str">
        <f>Sayfa2!A100</f>
        <v>PUP-139</v>
      </c>
      <c r="C99" s="2" t="str">
        <f>VLOOKUP(B99,Sayfa2!A:G,7,0)</f>
        <v>1038</v>
      </c>
      <c r="D99" s="2" t="str">
        <f>VLOOKUP(B99,Sayfa2!A:H,8,0)</f>
        <v>138</v>
      </c>
      <c r="E99" s="2" t="str">
        <f>VLOOKUP(B99,Sayfa2!A:I,9,0)</f>
        <v>10001038</v>
      </c>
      <c r="F99" s="2" t="str">
        <f>VLOOKUP(B99,Sayfa2!A:J,10,0)</f>
        <v>1038-01</v>
      </c>
      <c r="G99" s="13">
        <f t="shared" si="2"/>
        <v>702011</v>
      </c>
      <c r="H99" s="14" t="str">
        <f>VLOOKUP(B99,Sayfa2!A:K,11,0)</f>
        <v>KAMYONET</v>
      </c>
      <c r="I99" s="14" t="str">
        <f>VLOOKUP(B99,Sayfa2!A:N,13,0)</f>
        <v>PICK-UP FORD TRANSİT 350M ÇİFT KABİN ECO</v>
      </c>
      <c r="J99" s="14" t="str">
        <f>VLOOKUP(B99,Sayfa2!A:AI,35,0)</f>
        <v>TM04965</v>
      </c>
      <c r="K99" s="14" t="str">
        <f>VLOOKUP(B99,Sayfa2!A:U,21,0)</f>
        <v>IN871103</v>
      </c>
      <c r="L99" s="15" t="str">
        <f>VLOOKUP(B99,Sayfa2!A:U,21,0)</f>
        <v>IN871103</v>
      </c>
    </row>
    <row r="100" spans="1:12" ht="28.2" thickBot="1">
      <c r="A100" s="1" t="str">
        <f>VLOOKUP(B100,Sayfa2!A:O,15,0)</f>
        <v>06GCY683</v>
      </c>
      <c r="B100" s="13" t="str">
        <f>Sayfa2!A101</f>
        <v>PUP-140</v>
      </c>
      <c r="C100" s="2" t="str">
        <f>VLOOKUP(B100,Sayfa2!A:G,7,0)</f>
        <v>1038</v>
      </c>
      <c r="D100" s="2" t="str">
        <f>VLOOKUP(B100,Sayfa2!A:H,8,0)</f>
        <v>138</v>
      </c>
      <c r="E100" s="2" t="str">
        <f>VLOOKUP(B100,Sayfa2!A:I,9,0)</f>
        <v>10001038</v>
      </c>
      <c r="F100" s="2" t="str">
        <f>VLOOKUP(B100,Sayfa2!A:J,10,0)</f>
        <v>1038-01</v>
      </c>
      <c r="G100" s="13">
        <f t="shared" si="2"/>
        <v>702011</v>
      </c>
      <c r="H100" s="14" t="str">
        <f>VLOOKUP(B100,Sayfa2!A:K,11,0)</f>
        <v>KAMYONET</v>
      </c>
      <c r="I100" s="14" t="str">
        <f>VLOOKUP(B100,Sayfa2!A:N,13,0)</f>
        <v>PICK-UP FORD TRANSİT 350M ÇİFT KABİN ECO</v>
      </c>
      <c r="J100" s="14" t="str">
        <f>VLOOKUP(B100,Sayfa2!A:AI,35,0)</f>
        <v>TM04917</v>
      </c>
      <c r="K100" s="14" t="str">
        <f>VLOOKUP(B100,Sayfa2!A:U,21,0)</f>
        <v>IN871106</v>
      </c>
      <c r="L100" s="15" t="str">
        <f>VLOOKUP(B100,Sayfa2!A:U,21,0)</f>
        <v>IN871106</v>
      </c>
    </row>
    <row r="101" spans="1:12" ht="28.2" thickBot="1">
      <c r="A101" s="1" t="str">
        <f>VLOOKUP(B101,Sayfa2!A:O,15,0)</f>
        <v/>
      </c>
      <c r="B101" s="13" t="str">
        <f>Sayfa2!A102</f>
        <v>KNT-014</v>
      </c>
      <c r="C101" s="2" t="str">
        <f>VLOOKUP(B101,Sayfa2!A:G,7,0)</f>
        <v>1035</v>
      </c>
      <c r="D101" s="2" t="str">
        <f>VLOOKUP(B101,Sayfa2!A:H,8,0)</f>
        <v>135</v>
      </c>
      <c r="E101" s="2" t="str">
        <f>VLOOKUP(B101,Sayfa2!A:I,9,0)</f>
        <v>10001035</v>
      </c>
      <c r="F101" s="2" t="str">
        <f>VLOOKUP(B101,Sayfa2!A:J,10,0)</f>
        <v>1035-01</v>
      </c>
      <c r="G101" s="13">
        <f t="shared" si="2"/>
        <v>702003</v>
      </c>
      <c r="H101" s="14" t="str">
        <f>VLOOKUP(B101,Sayfa2!A:K,11,0)</f>
        <v>KANTAR</v>
      </c>
      <c r="I101" s="14" t="str">
        <f>VLOOKUP(B101,Sayfa2!A:N,13,0)</f>
        <v>KANTAR SAHIN BASKÜL 80 TONLUK</v>
      </c>
      <c r="J101" s="14" t="str">
        <f>VLOOKUP(B101,Sayfa2!A:AI,35,0)</f>
        <v/>
      </c>
      <c r="K101" s="14" t="str">
        <f>VLOOKUP(B101,Sayfa2!A:U,21,0)</f>
        <v>000000000000000000000000000000</v>
      </c>
      <c r="L101" s="15" t="str">
        <f>VLOOKUP(B101,Sayfa2!A:U,21,0)</f>
        <v>000000000000000000000000000000</v>
      </c>
    </row>
    <row r="102" spans="1:12" ht="28.2" thickBot="1">
      <c r="A102" s="1" t="str">
        <f>VLOOKUP(B102,Sayfa2!A:O,15,0)</f>
        <v/>
      </c>
      <c r="B102" s="13" t="str">
        <f>Sayfa2!A103</f>
        <v>GKM-003</v>
      </c>
      <c r="C102" s="2" t="str">
        <f>VLOOKUP(B102,Sayfa2!A:G,7,0)</f>
        <v>1035</v>
      </c>
      <c r="D102" s="2" t="str">
        <f>VLOOKUP(B102,Sayfa2!A:H,8,0)</f>
        <v>135</v>
      </c>
      <c r="E102" s="2" t="str">
        <f>VLOOKUP(B102,Sayfa2!A:I,9,0)</f>
        <v>10001035</v>
      </c>
      <c r="F102" s="2" t="str">
        <f>VLOOKUP(B102,Sayfa2!A:J,10,0)</f>
        <v>1035-01</v>
      </c>
      <c r="G102" s="13">
        <f t="shared" si="2"/>
        <v>702003</v>
      </c>
      <c r="H102" s="14" t="str">
        <f>VLOOKUP(B102,Sayfa2!A:K,11,0)</f>
        <v>KUCUK MKN</v>
      </c>
      <c r="I102" s="14" t="str">
        <f>VLOOKUP(B102,Sayfa2!A:N,13,0)</f>
        <v>GAZALTI KAYNAK MAKİNASI GEKAMAC GKM420</v>
      </c>
      <c r="J102" s="14" t="str">
        <f>VLOOKUP(B102,Sayfa2!A:AI,35,0)</f>
        <v/>
      </c>
      <c r="K102" s="14" t="str">
        <f>VLOOKUP(B102,Sayfa2!A:U,21,0)</f>
        <v>000000000000000000000000000000</v>
      </c>
      <c r="L102" s="15" t="str">
        <f>VLOOKUP(B102,Sayfa2!A:U,21,0)</f>
        <v>000000000000000000000000000000</v>
      </c>
    </row>
    <row r="103" spans="1:12" ht="28.2" thickBot="1">
      <c r="A103" s="1" t="str">
        <f>VLOOKUP(B103,Sayfa2!A:O,15,0)</f>
        <v>06GCZ079</v>
      </c>
      <c r="B103" s="13" t="str">
        <f>Sayfa2!A104</f>
        <v>MNB-029</v>
      </c>
      <c r="C103" s="2" t="str">
        <f>VLOOKUP(B103,Sayfa2!A:G,7,0)</f>
        <v>1038</v>
      </c>
      <c r="D103" s="2" t="str">
        <f>VLOOKUP(B103,Sayfa2!A:H,8,0)</f>
        <v>138</v>
      </c>
      <c r="E103" s="2" t="str">
        <f>VLOOKUP(B103,Sayfa2!A:I,9,0)</f>
        <v>10001038</v>
      </c>
      <c r="F103" s="2" t="str">
        <f>VLOOKUP(B103,Sayfa2!A:J,10,0)</f>
        <v>1038-01</v>
      </c>
      <c r="G103" s="13">
        <f t="shared" si="2"/>
        <v>702002</v>
      </c>
      <c r="H103" s="14" t="str">
        <f>VLOOKUP(B103,Sayfa2!A:K,11,0)</f>
        <v>SERVISARAC</v>
      </c>
      <c r="I103" s="14" t="str">
        <f>VLOOKUP(B103,Sayfa2!A:N,13,0)</f>
        <v>MİNİBÜS FORD TRANSIT ICA ICE 440E CAMLI</v>
      </c>
      <c r="J103" s="14" t="str">
        <f>VLOOKUP(B103,Sayfa2!A:AI,35,0)</f>
        <v>TU74341</v>
      </c>
      <c r="K103" s="14" t="str">
        <f>VLOOKUP(B103,Sayfa2!A:U,21,0)</f>
        <v>IN871113</v>
      </c>
      <c r="L103" s="15" t="str">
        <f>VLOOKUP(B103,Sayfa2!A:U,21,0)</f>
        <v>IN871113</v>
      </c>
    </row>
    <row r="104" spans="1:12" ht="28.2" thickBot="1">
      <c r="A104" s="1" t="str">
        <f>VLOOKUP(B104,Sayfa2!A:O,15,0)</f>
        <v>06GCY958</v>
      </c>
      <c r="B104" s="13" t="str">
        <f>Sayfa2!A105</f>
        <v>MNB-034</v>
      </c>
      <c r="C104" s="2" t="str">
        <f>VLOOKUP(B104,Sayfa2!A:G,7,0)</f>
        <v>1038</v>
      </c>
      <c r="D104" s="2" t="str">
        <f>VLOOKUP(B104,Sayfa2!A:H,8,0)</f>
        <v>138</v>
      </c>
      <c r="E104" s="2" t="str">
        <f>VLOOKUP(B104,Sayfa2!A:I,9,0)</f>
        <v>10001038</v>
      </c>
      <c r="F104" s="2" t="str">
        <f>VLOOKUP(B104,Sayfa2!A:J,10,0)</f>
        <v>1038-01</v>
      </c>
      <c r="G104" s="13">
        <f t="shared" si="2"/>
        <v>702002</v>
      </c>
      <c r="H104" s="14" t="str">
        <f>VLOOKUP(B104,Sayfa2!A:K,11,0)</f>
        <v>SERVISARAC</v>
      </c>
      <c r="I104" s="14" t="str">
        <f>VLOOKUP(B104,Sayfa2!A:N,13,0)</f>
        <v>MİNİBÜS FORD TRANSIT ICA ICE 440E CAMLI</v>
      </c>
      <c r="J104" s="14" t="str">
        <f>VLOOKUP(B104,Sayfa2!A:AI,35,0)</f>
        <v>TU87829</v>
      </c>
      <c r="K104" s="14" t="str">
        <f>VLOOKUP(B104,Sayfa2!A:U,21,0)</f>
        <v>IN871117</v>
      </c>
      <c r="L104" s="15" t="str">
        <f>VLOOKUP(B104,Sayfa2!A:U,21,0)</f>
        <v>IN871117</v>
      </c>
    </row>
    <row r="105" spans="1:12" ht="28.2" thickBot="1">
      <c r="A105" s="1" t="str">
        <f>VLOOKUP(B105,Sayfa2!A:O,15,0)</f>
        <v>06GCY949</v>
      </c>
      <c r="B105" s="13" t="str">
        <f>Sayfa2!A106</f>
        <v>MNB-035</v>
      </c>
      <c r="C105" s="2" t="str">
        <f>VLOOKUP(B105,Sayfa2!A:G,7,0)</f>
        <v>1038</v>
      </c>
      <c r="D105" s="2" t="str">
        <f>VLOOKUP(B105,Sayfa2!A:H,8,0)</f>
        <v>138</v>
      </c>
      <c r="E105" s="2" t="str">
        <f>VLOOKUP(B105,Sayfa2!A:I,9,0)</f>
        <v>10001038</v>
      </c>
      <c r="F105" s="2" t="str">
        <f>VLOOKUP(B105,Sayfa2!A:J,10,0)</f>
        <v>1038-01</v>
      </c>
      <c r="G105" s="13">
        <f t="shared" si="2"/>
        <v>702002</v>
      </c>
      <c r="H105" s="14" t="str">
        <f>VLOOKUP(B105,Sayfa2!A:K,11,0)</f>
        <v>SERVISARAC</v>
      </c>
      <c r="I105" s="14" t="str">
        <f>VLOOKUP(B105,Sayfa2!A:N,13,0)</f>
        <v>MİNİBÜS FORD TRANSIT ICA ICE 440E CAMLI</v>
      </c>
      <c r="J105" s="14" t="str">
        <f>VLOOKUP(B105,Sayfa2!A:AI,35,0)</f>
        <v>TU87824</v>
      </c>
      <c r="K105" s="14" t="str">
        <f>VLOOKUP(B105,Sayfa2!A:U,21,0)</f>
        <v>IN871121</v>
      </c>
      <c r="L105" s="15" t="str">
        <f>VLOOKUP(B105,Sayfa2!A:U,21,0)</f>
        <v>IN871121</v>
      </c>
    </row>
    <row r="106" spans="1:12" ht="28.2" thickBot="1">
      <c r="A106" s="1" t="str">
        <f>VLOOKUP(B106,Sayfa2!A:O,15,0)</f>
        <v>06GCY961</v>
      </c>
      <c r="B106" s="13" t="str">
        <f>Sayfa2!A107</f>
        <v>MNB-037</v>
      </c>
      <c r="C106" s="2" t="str">
        <f>VLOOKUP(B106,Sayfa2!A:G,7,0)</f>
        <v>1035</v>
      </c>
      <c r="D106" s="2" t="str">
        <f>VLOOKUP(B106,Sayfa2!A:H,8,0)</f>
        <v>135</v>
      </c>
      <c r="E106" s="2" t="str">
        <f>VLOOKUP(B106,Sayfa2!A:I,9,0)</f>
        <v>10001035</v>
      </c>
      <c r="F106" s="2" t="str">
        <f>VLOOKUP(B106,Sayfa2!A:J,10,0)</f>
        <v>1035-01</v>
      </c>
      <c r="G106" s="13">
        <f t="shared" si="2"/>
        <v>702002</v>
      </c>
      <c r="H106" s="14" t="str">
        <f>VLOOKUP(B106,Sayfa2!A:K,11,0)</f>
        <v>SERVISARAC</v>
      </c>
      <c r="I106" s="14" t="str">
        <f>VLOOKUP(B106,Sayfa2!A:N,13,0)</f>
        <v>MİNİBÜS FORD TRANSIT ICA ICE 440E CAMLI</v>
      </c>
      <c r="J106" s="14" t="str">
        <f>VLOOKUP(B106,Sayfa2!A:AI,35,0)</f>
        <v>TM02881</v>
      </c>
      <c r="K106" s="14" t="str">
        <f>VLOOKUP(B106,Sayfa2!A:U,21,0)</f>
        <v>IN871123</v>
      </c>
      <c r="L106" s="15" t="str">
        <f>VLOOKUP(B106,Sayfa2!A:U,21,0)</f>
        <v>IN871123</v>
      </c>
    </row>
    <row r="107" spans="1:12" ht="28.2" thickBot="1">
      <c r="A107" s="1" t="str">
        <f>VLOOKUP(B107,Sayfa2!A:O,15,0)</f>
        <v>06GCY988</v>
      </c>
      <c r="B107" s="13" t="str">
        <f>Sayfa2!A108</f>
        <v>MNB-039</v>
      </c>
      <c r="C107" s="2" t="str">
        <f>VLOOKUP(B107,Sayfa2!A:G,7,0)</f>
        <v>1038</v>
      </c>
      <c r="D107" s="2" t="str">
        <f>VLOOKUP(B107,Sayfa2!A:H,8,0)</f>
        <v>138</v>
      </c>
      <c r="E107" s="2" t="str">
        <f>VLOOKUP(B107,Sayfa2!A:I,9,0)</f>
        <v>10001038</v>
      </c>
      <c r="F107" s="2" t="str">
        <f>VLOOKUP(B107,Sayfa2!A:J,10,0)</f>
        <v>1038-01</v>
      </c>
      <c r="G107" s="13">
        <f t="shared" si="2"/>
        <v>702002</v>
      </c>
      <c r="H107" s="14" t="str">
        <f>VLOOKUP(B107,Sayfa2!A:K,11,0)</f>
        <v>SERVISARAC</v>
      </c>
      <c r="I107" s="14" t="str">
        <f>VLOOKUP(B107,Sayfa2!A:N,13,0)</f>
        <v>MİNİBÜS FORD TRANSIT ICA ICE 440E CAMLI</v>
      </c>
      <c r="J107" s="14" t="str">
        <f>VLOOKUP(B107,Sayfa2!A:AI,35,0)</f>
        <v>TM03825</v>
      </c>
      <c r="K107" s="14" t="str">
        <f>VLOOKUP(B107,Sayfa2!A:U,21,0)</f>
        <v>IN871126</v>
      </c>
      <c r="L107" s="15" t="str">
        <f>VLOOKUP(B107,Sayfa2!A:U,21,0)</f>
        <v>IN871126</v>
      </c>
    </row>
    <row r="108" spans="1:12" ht="28.2" thickBot="1">
      <c r="A108" s="1" t="str">
        <f>VLOOKUP(B108,Sayfa2!A:O,15,0)</f>
        <v>06GCY981</v>
      </c>
      <c r="B108" s="13" t="str">
        <f>Sayfa2!A109</f>
        <v>MNB-040</v>
      </c>
      <c r="C108" s="2" t="str">
        <f>VLOOKUP(B108,Sayfa2!A:G,7,0)</f>
        <v>1038</v>
      </c>
      <c r="D108" s="2" t="str">
        <f>VLOOKUP(B108,Sayfa2!A:H,8,0)</f>
        <v>138</v>
      </c>
      <c r="E108" s="2" t="str">
        <f>VLOOKUP(B108,Sayfa2!A:I,9,0)</f>
        <v>10001038</v>
      </c>
      <c r="F108" s="2" t="str">
        <f>VLOOKUP(B108,Sayfa2!A:J,10,0)</f>
        <v>1038-01</v>
      </c>
      <c r="G108" s="13">
        <f t="shared" si="2"/>
        <v>702002</v>
      </c>
      <c r="H108" s="14" t="str">
        <f>VLOOKUP(B108,Sayfa2!A:K,11,0)</f>
        <v>SERVISARAC</v>
      </c>
      <c r="I108" s="14" t="str">
        <f>VLOOKUP(B108,Sayfa2!A:N,13,0)</f>
        <v>MİNİBÜS FORD TRANSIT ICA ICE 440E CAMLI</v>
      </c>
      <c r="J108" s="14" t="str">
        <f>VLOOKUP(B108,Sayfa2!A:AI,35,0)</f>
        <v>TM03814</v>
      </c>
      <c r="K108" s="14" t="str">
        <f>VLOOKUP(B108,Sayfa2!A:U,21,0)</f>
        <v>IN871122</v>
      </c>
      <c r="L108" s="15" t="str">
        <f>VLOOKUP(B108,Sayfa2!A:U,21,0)</f>
        <v>IN871122</v>
      </c>
    </row>
    <row r="109" spans="1:12" ht="28.2" thickBot="1">
      <c r="A109" s="1" t="str">
        <f>VLOOKUP(B109,Sayfa2!A:O,15,0)</f>
        <v/>
      </c>
      <c r="B109" s="13" t="str">
        <f>Sayfa2!A110</f>
        <v>SAT-017</v>
      </c>
      <c r="C109" s="2" t="str">
        <f>VLOOKUP(B109,Sayfa2!A:G,7,0)</f>
        <v>1035</v>
      </c>
      <c r="D109" s="2" t="str">
        <f>VLOOKUP(B109,Sayfa2!A:H,8,0)</f>
        <v>135</v>
      </c>
      <c r="E109" s="2" t="str">
        <f>VLOOKUP(B109,Sayfa2!A:I,9,0)</f>
        <v>10001035</v>
      </c>
      <c r="F109" s="2" t="str">
        <f>VLOOKUP(B109,Sayfa2!A:J,10,0)</f>
        <v>1035-01</v>
      </c>
      <c r="G109" s="13">
        <f t="shared" ref="G109:G115" si="3">IF(H109="BINEKARAC", 702001, IF(H109="CEKICI", 702002, IF(H109="KAMYON GRP", 702002, IF(H109="SERVISARAC", 702002, IF(H109="KAMYONET", 702011, 702003)))))</f>
        <v>702003</v>
      </c>
      <c r="H109" s="14" t="str">
        <f>VLOOKUP(B109,Sayfa2!A:K,11,0)</f>
        <v>TANK</v>
      </c>
      <c r="I109" s="14" t="str">
        <f>VLOOKUP(B109,Sayfa2!A:N,13,0)</f>
        <v>SABİT AKARYAKIT 40.000 LITRE</v>
      </c>
      <c r="J109" s="14" t="str">
        <f>VLOOKUP(B109,Sayfa2!A:AI,35,0)</f>
        <v/>
      </c>
      <c r="K109" s="14" t="str">
        <f>VLOOKUP(B109,Sayfa2!A:U,21,0)</f>
        <v/>
      </c>
      <c r="L109" s="15" t="str">
        <f>VLOOKUP(B109,Sayfa2!A:U,21,0)</f>
        <v/>
      </c>
    </row>
    <row r="110" spans="1:12" ht="28.2" thickBot="1">
      <c r="A110" s="1" t="str">
        <f>VLOOKUP(B110,Sayfa2!A:O,15,0)</f>
        <v/>
      </c>
      <c r="B110" s="13" t="str">
        <f>Sayfa2!A111</f>
        <v>KLV-003</v>
      </c>
      <c r="C110" s="2" t="str">
        <f>VLOOKUP(B110,Sayfa2!A:G,7,0)</f>
        <v>1035</v>
      </c>
      <c r="D110" s="2" t="str">
        <f>VLOOKUP(B110,Sayfa2!A:H,8,0)</f>
        <v>135</v>
      </c>
      <c r="E110" s="2" t="str">
        <f>VLOOKUP(B110,Sayfa2!A:I,9,0)</f>
        <v>10001035</v>
      </c>
      <c r="F110" s="2" t="str">
        <f>VLOOKUP(B110,Sayfa2!A:J,10,0)</f>
        <v>1035-01</v>
      </c>
      <c r="G110" s="13">
        <f t="shared" si="3"/>
        <v>702003</v>
      </c>
      <c r="H110" s="14" t="str">
        <f>VLOOKUP(B110,Sayfa2!A:K,11,0)</f>
        <v>TESIS</v>
      </c>
      <c r="I110" s="14" t="str">
        <f>VLOOKUP(B110,Sayfa2!A:N,13,0)</f>
        <v>KULE VİNÇ BABA SAEZ BS12 66,5</v>
      </c>
      <c r="J110" s="14" t="str">
        <f>VLOOKUP(B110,Sayfa2!A:AI,35,0)</f>
        <v/>
      </c>
      <c r="K110" s="14" t="str">
        <f>VLOOKUP(B110,Sayfa2!A:U,21,0)</f>
        <v>222</v>
      </c>
      <c r="L110" s="15" t="str">
        <f>VLOOKUP(B110,Sayfa2!A:U,21,0)</f>
        <v>222</v>
      </c>
    </row>
    <row r="111" spans="1:12" ht="28.2" thickBot="1">
      <c r="A111" s="1" t="str">
        <f>VLOOKUP(B111,Sayfa2!A:O,15,0)</f>
        <v/>
      </c>
      <c r="B111" s="13" t="str">
        <f>Sayfa2!A112</f>
        <v>KLV-004</v>
      </c>
      <c r="C111" s="2" t="str">
        <f>VLOOKUP(B111,Sayfa2!A:G,7,0)</f>
        <v>1035</v>
      </c>
      <c r="D111" s="2" t="str">
        <f>VLOOKUP(B111,Sayfa2!A:H,8,0)</f>
        <v>135</v>
      </c>
      <c r="E111" s="2" t="str">
        <f>VLOOKUP(B111,Sayfa2!A:I,9,0)</f>
        <v>10001035</v>
      </c>
      <c r="F111" s="2" t="str">
        <f>VLOOKUP(B111,Sayfa2!A:J,10,0)</f>
        <v>1035-01</v>
      </c>
      <c r="G111" s="13">
        <f t="shared" si="3"/>
        <v>702003</v>
      </c>
      <c r="H111" s="14" t="str">
        <f>VLOOKUP(B111,Sayfa2!A:K,11,0)</f>
        <v>TESIS</v>
      </c>
      <c r="I111" s="14" t="str">
        <f>VLOOKUP(B111,Sayfa2!A:N,13,0)</f>
        <v>KULE VİNÇ BABA SAEZ BS12 66,5</v>
      </c>
      <c r="J111" s="14" t="str">
        <f>VLOOKUP(B111,Sayfa2!A:AI,35,0)</f>
        <v/>
      </c>
      <c r="K111" s="14" t="str">
        <f>VLOOKUP(B111,Sayfa2!A:U,21,0)</f>
        <v>223</v>
      </c>
      <c r="L111" s="15" t="str">
        <f>VLOOKUP(B111,Sayfa2!A:U,21,0)</f>
        <v>223</v>
      </c>
    </row>
    <row r="112" spans="1:12" ht="28.2" thickBot="1">
      <c r="A112" s="1" t="str">
        <f>VLOOKUP(B112,Sayfa2!A:O,15,0)</f>
        <v/>
      </c>
      <c r="B112" s="13" t="str">
        <f>Sayfa2!A113</f>
        <v>KLV-005</v>
      </c>
      <c r="C112" s="2" t="str">
        <f>VLOOKUP(B112,Sayfa2!A:G,7,0)</f>
        <v>1035</v>
      </c>
      <c r="D112" s="2" t="str">
        <f>VLOOKUP(B112,Sayfa2!A:H,8,0)</f>
        <v>135</v>
      </c>
      <c r="E112" s="2" t="str">
        <f>VLOOKUP(B112,Sayfa2!A:I,9,0)</f>
        <v>10001035</v>
      </c>
      <c r="F112" s="2" t="str">
        <f>VLOOKUP(B112,Sayfa2!A:J,10,0)</f>
        <v>1035-01</v>
      </c>
      <c r="G112" s="13">
        <f t="shared" si="3"/>
        <v>702003</v>
      </c>
      <c r="H112" s="14" t="str">
        <f>VLOOKUP(B112,Sayfa2!A:K,11,0)</f>
        <v>TESIS</v>
      </c>
      <c r="I112" s="14" t="str">
        <f>VLOOKUP(B112,Sayfa2!A:N,13,0)</f>
        <v>KULE VİNÇ BABA SAEZ BS12 66,5</v>
      </c>
      <c r="J112" s="14" t="str">
        <f>VLOOKUP(B112,Sayfa2!A:AI,35,0)</f>
        <v/>
      </c>
      <c r="K112" s="14" t="str">
        <f>VLOOKUP(B112,Sayfa2!A:U,21,0)</f>
        <v/>
      </c>
      <c r="L112" s="15" t="str">
        <f>VLOOKUP(B112,Sayfa2!A:U,21,0)</f>
        <v/>
      </c>
    </row>
    <row r="113" spans="1:12" ht="28.2" thickBot="1">
      <c r="A113" s="1" t="str">
        <f>VLOOKUP(B113,Sayfa2!A:O,15,0)</f>
        <v/>
      </c>
      <c r="B113" s="13" t="str">
        <f>Sayfa2!A114</f>
        <v>KLV-006</v>
      </c>
      <c r="C113" s="2" t="str">
        <f>VLOOKUP(B113,Sayfa2!A:G,7,0)</f>
        <v>1035</v>
      </c>
      <c r="D113" s="2" t="str">
        <f>VLOOKUP(B113,Sayfa2!A:H,8,0)</f>
        <v>135</v>
      </c>
      <c r="E113" s="2" t="str">
        <f>VLOOKUP(B113,Sayfa2!A:I,9,0)</f>
        <v>10001035</v>
      </c>
      <c r="F113" s="2" t="str">
        <f>VLOOKUP(B113,Sayfa2!A:J,10,0)</f>
        <v>1035-01</v>
      </c>
      <c r="G113" s="13">
        <f t="shared" si="3"/>
        <v>702003</v>
      </c>
      <c r="H113" s="14" t="str">
        <f>VLOOKUP(B113,Sayfa2!A:K,11,0)</f>
        <v>TESIS</v>
      </c>
      <c r="I113" s="14" t="str">
        <f>VLOOKUP(B113,Sayfa2!A:N,13,0)</f>
        <v>KULE VİNÇ KASIRGA HSH QTP7025</v>
      </c>
      <c r="J113" s="14" t="str">
        <f>VLOOKUP(B113,Sayfa2!A:AI,35,0)</f>
        <v/>
      </c>
      <c r="K113" s="14" t="str">
        <f>VLOOKUP(B113,Sayfa2!A:U,21,0)</f>
        <v/>
      </c>
      <c r="L113" s="15" t="str">
        <f>VLOOKUP(B113,Sayfa2!A:U,21,0)</f>
        <v/>
      </c>
    </row>
    <row r="114" spans="1:12" ht="28.2" thickBot="1">
      <c r="A114" s="1" t="str">
        <f>VLOOKUP(B114,Sayfa2!A:O,15,0)</f>
        <v/>
      </c>
      <c r="B114" s="13" t="str">
        <f>Sayfa2!A115</f>
        <v>KLV-007</v>
      </c>
      <c r="C114" s="2" t="str">
        <f>VLOOKUP(B114,Sayfa2!A:G,7,0)</f>
        <v>1035</v>
      </c>
      <c r="D114" s="2" t="str">
        <f>VLOOKUP(B114,Sayfa2!A:H,8,0)</f>
        <v>135</v>
      </c>
      <c r="E114" s="2" t="str">
        <f>VLOOKUP(B114,Sayfa2!A:I,9,0)</f>
        <v>10001035</v>
      </c>
      <c r="F114" s="2" t="str">
        <f>VLOOKUP(B114,Sayfa2!A:J,10,0)</f>
        <v>1035-01</v>
      </c>
      <c r="G114" s="13">
        <f t="shared" si="3"/>
        <v>702003</v>
      </c>
      <c r="H114" s="14" t="str">
        <f>VLOOKUP(B114,Sayfa2!A:K,11,0)</f>
        <v>TESIS</v>
      </c>
      <c r="I114" s="14" t="str">
        <f>VLOOKUP(B114,Sayfa2!A:N,13,0)</f>
        <v>KULE VİNÇ KASIRGA HSH QTP7025</v>
      </c>
      <c r="J114" s="14" t="str">
        <f>VLOOKUP(B114,Sayfa2!A:AI,35,0)</f>
        <v/>
      </c>
      <c r="K114" s="14" t="str">
        <f>VLOOKUP(B114,Sayfa2!A:U,21,0)</f>
        <v/>
      </c>
      <c r="L114" s="15" t="str">
        <f>VLOOKUP(B114,Sayfa2!A:U,21,0)</f>
        <v/>
      </c>
    </row>
    <row r="115" spans="1:12" ht="28.2" thickBot="1">
      <c r="A115" s="1" t="str">
        <f>VLOOKUP(B115,Sayfa2!A:O,15,0)</f>
        <v/>
      </c>
      <c r="B115" s="13" t="str">
        <f>Sayfa2!A116</f>
        <v>TRE-001</v>
      </c>
      <c r="C115" s="2" t="str">
        <f>VLOOKUP(B115,Sayfa2!A:G,7,0)</f>
        <v>1035</v>
      </c>
      <c r="D115" s="2" t="str">
        <f>VLOOKUP(B115,Sayfa2!A:H,8,0)</f>
        <v>135</v>
      </c>
      <c r="E115" s="2" t="str">
        <f>VLOOKUP(B115,Sayfa2!A:I,9,0)</f>
        <v>10001035</v>
      </c>
      <c r="F115" s="2" t="str">
        <f>VLOOKUP(B115,Sayfa2!A:J,10,0)</f>
        <v>1035-01</v>
      </c>
      <c r="G115" s="13">
        <f t="shared" si="3"/>
        <v>702003</v>
      </c>
      <c r="H115" s="14" t="str">
        <f>VLOOKUP(B115,Sayfa2!A:K,11,0)</f>
        <v>TESIS</v>
      </c>
      <c r="I115" s="14" t="str">
        <f>VLOOKUP(B115,Sayfa2!A:N,13,0)</f>
        <v>TOPRAK ELEME AYMAK AGS-1245</v>
      </c>
      <c r="J115" s="14" t="str">
        <f>VLOOKUP(B115,Sayfa2!A:AI,35,0)</f>
        <v/>
      </c>
      <c r="K115" s="14" t="str">
        <f>VLOOKUP(B115,Sayfa2!A:U,21,0)</f>
        <v/>
      </c>
      <c r="L115" s="15" t="str">
        <f>VLOOKUP(B115,Sayfa2!A:U,21,0)</f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7AC7-B900-4720-B4FB-3EBDAB527CBD}">
  <dimension ref="A1:AU116"/>
  <sheetViews>
    <sheetView topLeftCell="A102" workbookViewId="0">
      <selection activeCell="G123" sqref="G123"/>
    </sheetView>
  </sheetViews>
  <sheetFormatPr defaultRowHeight="14.4"/>
  <cols>
    <col min="1" max="1" width="12.88671875" customWidth="1"/>
    <col min="7" max="7" width="16.44140625" customWidth="1"/>
    <col min="8" max="8" width="21.88671875" customWidth="1"/>
    <col min="9" max="9" width="20.21875" customWidth="1"/>
    <col min="10" max="10" width="15.21875" customWidth="1"/>
    <col min="11" max="11" width="32.33203125" customWidth="1"/>
    <col min="17" max="17" width="11" bestFit="1" customWidth="1"/>
    <col min="18" max="18" width="13.33203125" bestFit="1" customWidth="1"/>
    <col min="19" max="19" width="24.21875" bestFit="1" customWidth="1"/>
    <col min="20" max="20" width="15.77734375" bestFit="1" customWidth="1"/>
    <col min="21" max="21" width="31.21875" bestFit="1" customWidth="1"/>
    <col min="22" max="22" width="19.6640625" bestFit="1" customWidth="1"/>
    <col min="23" max="23" width="31.21875" bestFit="1" customWidth="1"/>
    <col min="24" max="24" width="18.33203125" bestFit="1" customWidth="1"/>
    <col min="25" max="25" width="15.33203125" bestFit="1" customWidth="1"/>
    <col min="26" max="26" width="29.77734375" bestFit="1" customWidth="1"/>
    <col min="27" max="27" width="29.5546875" bestFit="1" customWidth="1"/>
    <col min="28" max="28" width="19.88671875" bestFit="1" customWidth="1"/>
    <col min="29" max="29" width="16" bestFit="1" customWidth="1"/>
    <col min="30" max="30" width="18" bestFit="1" customWidth="1"/>
    <col min="31" max="31" width="11.77734375" bestFit="1" customWidth="1"/>
    <col min="32" max="32" width="13.77734375" bestFit="1" customWidth="1"/>
    <col min="33" max="33" width="16.77734375" bestFit="1" customWidth="1"/>
    <col min="34" max="34" width="30.44140625" bestFit="1" customWidth="1"/>
    <col min="35" max="35" width="30.33203125" bestFit="1" customWidth="1"/>
    <col min="36" max="36" width="20.44140625" bestFit="1" customWidth="1"/>
    <col min="37" max="37" width="12.77734375" bestFit="1" customWidth="1"/>
    <col min="38" max="38" width="10.77734375" bestFit="1" customWidth="1"/>
    <col min="39" max="39" width="12.77734375" bestFit="1" customWidth="1"/>
    <col min="40" max="40" width="12.21875" bestFit="1" customWidth="1"/>
    <col min="41" max="41" width="14.21875" bestFit="1" customWidth="1"/>
    <col min="42" max="42" width="32.5546875" bestFit="1" customWidth="1"/>
    <col min="43" max="43" width="15" bestFit="1" customWidth="1"/>
    <col min="44" max="44" width="14.77734375" bestFit="1" customWidth="1"/>
    <col min="45" max="46" width="28.21875" bestFit="1" customWidth="1"/>
    <col min="47" max="47" width="21.21875" bestFit="1" customWidth="1"/>
  </cols>
  <sheetData>
    <row r="1" spans="1:47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</row>
    <row r="2" spans="1:47"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  <c r="AF2" s="4" t="s">
        <v>36</v>
      </c>
      <c r="AG2" s="4" t="s">
        <v>37</v>
      </c>
      <c r="AH2" s="4" t="s">
        <v>38</v>
      </c>
      <c r="AI2" s="4" t="s">
        <v>39</v>
      </c>
      <c r="AJ2" s="4" t="s">
        <v>40</v>
      </c>
      <c r="AK2" s="4" t="s">
        <v>41</v>
      </c>
      <c r="AL2" s="4" t="s">
        <v>42</v>
      </c>
      <c r="AM2" s="4" t="s">
        <v>43</v>
      </c>
      <c r="AN2" s="4" t="s">
        <v>44</v>
      </c>
      <c r="AO2" s="4" t="s">
        <v>45</v>
      </c>
      <c r="AP2" s="4" t="s">
        <v>46</v>
      </c>
      <c r="AQ2" s="4" t="s">
        <v>47</v>
      </c>
      <c r="AR2" s="4" t="s">
        <v>48</v>
      </c>
      <c r="AS2" s="4" t="s">
        <v>49</v>
      </c>
      <c r="AT2" s="4" t="s">
        <v>50</v>
      </c>
      <c r="AU2" s="4" t="s">
        <v>51</v>
      </c>
    </row>
    <row r="3" spans="1:47">
      <c r="A3" t="str">
        <f t="shared" ref="A3:A66" si="0">L3</f>
        <v>BA-090</v>
      </c>
      <c r="B3" s="5" t="s">
        <v>52</v>
      </c>
      <c r="C3" s="6" t="s">
        <v>53</v>
      </c>
      <c r="D3" s="7">
        <v>46207</v>
      </c>
      <c r="E3" s="7">
        <v>2958465</v>
      </c>
      <c r="F3" s="6" t="s">
        <v>54</v>
      </c>
      <c r="G3" s="6" t="s">
        <v>55</v>
      </c>
      <c r="H3" s="6" t="s">
        <v>56</v>
      </c>
      <c r="I3" s="6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69</v>
      </c>
      <c r="V3" s="6" t="s">
        <v>65</v>
      </c>
      <c r="W3" s="6" t="s">
        <v>70</v>
      </c>
      <c r="X3" s="7"/>
      <c r="Y3" s="6" t="s">
        <v>65</v>
      </c>
      <c r="Z3" s="6" t="s">
        <v>71</v>
      </c>
      <c r="AA3" s="6" t="s">
        <v>71</v>
      </c>
      <c r="AB3" s="8">
        <v>30000</v>
      </c>
      <c r="AC3" s="7">
        <v>45942</v>
      </c>
      <c r="AD3" s="7">
        <v>45911</v>
      </c>
      <c r="AE3" s="7">
        <v>46307</v>
      </c>
      <c r="AF3" s="7">
        <v>46276</v>
      </c>
      <c r="AG3" s="6" t="s">
        <v>72</v>
      </c>
      <c r="AH3" s="6" t="s">
        <v>73</v>
      </c>
      <c r="AI3" s="6" t="s">
        <v>65</v>
      </c>
      <c r="AJ3" s="7">
        <v>46580</v>
      </c>
      <c r="AK3" s="6" t="s">
        <v>74</v>
      </c>
      <c r="AL3" s="6" t="s">
        <v>75</v>
      </c>
      <c r="AM3" s="6" t="s">
        <v>76</v>
      </c>
      <c r="AN3" s="9">
        <v>8640.4699999999993</v>
      </c>
      <c r="AO3" s="9">
        <v>8640.4699999999993</v>
      </c>
      <c r="AP3" s="6" t="s">
        <v>73</v>
      </c>
      <c r="AQ3" s="8">
        <v>770000</v>
      </c>
      <c r="AR3" s="7">
        <v>45191</v>
      </c>
      <c r="AS3" s="6" t="s">
        <v>77</v>
      </c>
      <c r="AT3" s="6" t="s">
        <v>77</v>
      </c>
      <c r="AU3" s="6" t="s">
        <v>78</v>
      </c>
    </row>
    <row r="4" spans="1:47">
      <c r="A4" t="str">
        <f t="shared" si="0"/>
        <v>BA-254</v>
      </c>
      <c r="B4" s="5" t="s">
        <v>52</v>
      </c>
      <c r="C4" s="6" t="s">
        <v>53</v>
      </c>
      <c r="D4" s="7">
        <v>46119</v>
      </c>
      <c r="E4" s="7">
        <v>2958465</v>
      </c>
      <c r="F4" s="6" t="s">
        <v>79</v>
      </c>
      <c r="G4" s="6" t="s">
        <v>55</v>
      </c>
      <c r="H4" s="6" t="s">
        <v>56</v>
      </c>
      <c r="I4" s="6" t="s">
        <v>57</v>
      </c>
      <c r="J4" s="6" t="s">
        <v>58</v>
      </c>
      <c r="K4" s="6" t="s">
        <v>59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84</v>
      </c>
      <c r="Q4" s="6" t="s">
        <v>85</v>
      </c>
      <c r="R4" s="6" t="s">
        <v>66</v>
      </c>
      <c r="S4" s="6" t="s">
        <v>86</v>
      </c>
      <c r="T4" s="6" t="s">
        <v>68</v>
      </c>
      <c r="U4" s="6" t="s">
        <v>87</v>
      </c>
      <c r="V4" s="6" t="s">
        <v>65</v>
      </c>
      <c r="W4" s="6" t="s">
        <v>70</v>
      </c>
      <c r="X4" s="7"/>
      <c r="Y4" s="6" t="s">
        <v>65</v>
      </c>
      <c r="Z4" s="6" t="s">
        <v>71</v>
      </c>
      <c r="AA4" s="6" t="s">
        <v>71</v>
      </c>
      <c r="AB4" s="8">
        <v>0</v>
      </c>
      <c r="AC4" s="7">
        <v>46018</v>
      </c>
      <c r="AD4" s="7">
        <v>46018</v>
      </c>
      <c r="AE4" s="7">
        <v>46383</v>
      </c>
      <c r="AF4" s="7">
        <v>46276</v>
      </c>
      <c r="AG4" s="6" t="s">
        <v>72</v>
      </c>
      <c r="AH4" s="6" t="s">
        <v>73</v>
      </c>
      <c r="AI4" s="6" t="s">
        <v>88</v>
      </c>
      <c r="AJ4" s="7">
        <v>46727</v>
      </c>
      <c r="AK4" s="6" t="s">
        <v>65</v>
      </c>
      <c r="AL4" s="6" t="s">
        <v>89</v>
      </c>
      <c r="AM4" s="6" t="s">
        <v>90</v>
      </c>
      <c r="AN4" s="9">
        <v>8780.02</v>
      </c>
      <c r="AO4" s="9">
        <v>12681.09</v>
      </c>
      <c r="AP4" s="6" t="s">
        <v>73</v>
      </c>
      <c r="AQ4" s="8">
        <v>1480000</v>
      </c>
      <c r="AR4" s="7">
        <v>45652</v>
      </c>
      <c r="AS4" s="6" t="s">
        <v>77</v>
      </c>
      <c r="AT4" s="6" t="s">
        <v>77</v>
      </c>
      <c r="AU4" s="6" t="s">
        <v>91</v>
      </c>
    </row>
    <row r="5" spans="1:47">
      <c r="A5" t="str">
        <f t="shared" si="0"/>
        <v>BA-256</v>
      </c>
      <c r="B5" s="5" t="s">
        <v>52</v>
      </c>
      <c r="C5" s="6" t="s">
        <v>53</v>
      </c>
      <c r="D5" s="7">
        <v>46234</v>
      </c>
      <c r="E5" s="7">
        <v>2958465</v>
      </c>
      <c r="F5" s="6" t="s">
        <v>92</v>
      </c>
      <c r="G5" s="6" t="s">
        <v>93</v>
      </c>
      <c r="H5" s="6" t="s">
        <v>94</v>
      </c>
      <c r="I5" s="6" t="s">
        <v>95</v>
      </c>
      <c r="J5" s="6" t="s">
        <v>96</v>
      </c>
      <c r="K5" s="6" t="s">
        <v>59</v>
      </c>
      <c r="L5" s="6" t="s">
        <v>97</v>
      </c>
      <c r="M5" s="6" t="s">
        <v>81</v>
      </c>
      <c r="N5" s="6" t="s">
        <v>82</v>
      </c>
      <c r="O5" s="6" t="s">
        <v>98</v>
      </c>
      <c r="P5" s="6" t="s">
        <v>84</v>
      </c>
      <c r="Q5" s="6" t="s">
        <v>85</v>
      </c>
      <c r="R5" s="6" t="s">
        <v>66</v>
      </c>
      <c r="S5" s="6" t="s">
        <v>86</v>
      </c>
      <c r="T5" s="6" t="s">
        <v>68</v>
      </c>
      <c r="U5" s="6" t="s">
        <v>99</v>
      </c>
      <c r="V5" s="6" t="s">
        <v>65</v>
      </c>
      <c r="W5" s="6" t="s">
        <v>70</v>
      </c>
      <c r="X5" s="7"/>
      <c r="Y5" s="6" t="s">
        <v>65</v>
      </c>
      <c r="Z5" s="6" t="s">
        <v>71</v>
      </c>
      <c r="AA5" s="6" t="s">
        <v>71</v>
      </c>
      <c r="AB5" s="8">
        <v>0</v>
      </c>
      <c r="AC5" s="7">
        <v>46018</v>
      </c>
      <c r="AD5" s="7">
        <v>46018</v>
      </c>
      <c r="AE5" s="7">
        <v>46383</v>
      </c>
      <c r="AF5" s="7">
        <v>46276</v>
      </c>
      <c r="AG5" s="6" t="s">
        <v>72</v>
      </c>
      <c r="AH5" s="6" t="s">
        <v>73</v>
      </c>
      <c r="AI5" s="6" t="s">
        <v>100</v>
      </c>
      <c r="AJ5" s="7">
        <v>46727</v>
      </c>
      <c r="AK5" s="6" t="s">
        <v>65</v>
      </c>
      <c r="AL5" s="6" t="s">
        <v>101</v>
      </c>
      <c r="AM5" s="6" t="s">
        <v>102</v>
      </c>
      <c r="AN5" s="9">
        <v>8780.02</v>
      </c>
      <c r="AO5" s="9">
        <v>12681.09</v>
      </c>
      <c r="AP5" s="6" t="s">
        <v>73</v>
      </c>
      <c r="AQ5" s="8">
        <v>1480000</v>
      </c>
      <c r="AR5" s="7">
        <v>45652</v>
      </c>
      <c r="AS5" s="6" t="s">
        <v>77</v>
      </c>
      <c r="AT5" s="6" t="s">
        <v>77</v>
      </c>
      <c r="AU5" s="6" t="s">
        <v>103</v>
      </c>
    </row>
    <row r="6" spans="1:47">
      <c r="A6" t="str">
        <f t="shared" si="0"/>
        <v>BA-280</v>
      </c>
      <c r="B6" s="5" t="s">
        <v>52</v>
      </c>
      <c r="C6" s="6" t="s">
        <v>53</v>
      </c>
      <c r="D6" s="7">
        <v>46239</v>
      </c>
      <c r="E6" s="7">
        <v>2958465</v>
      </c>
      <c r="F6" s="6" t="s">
        <v>104</v>
      </c>
      <c r="G6" s="6" t="s">
        <v>93</v>
      </c>
      <c r="H6" s="6" t="s">
        <v>94</v>
      </c>
      <c r="I6" s="6" t="s">
        <v>95</v>
      </c>
      <c r="J6" s="6" t="s">
        <v>96</v>
      </c>
      <c r="K6" s="6" t="s">
        <v>59</v>
      </c>
      <c r="L6" s="6" t="s">
        <v>105</v>
      </c>
      <c r="M6" s="6" t="s">
        <v>106</v>
      </c>
      <c r="N6" s="6" t="s">
        <v>107</v>
      </c>
      <c r="O6" s="6" t="s">
        <v>108</v>
      </c>
      <c r="P6" s="6" t="s">
        <v>109</v>
      </c>
      <c r="Q6" s="6" t="s">
        <v>110</v>
      </c>
      <c r="R6" s="6" t="s">
        <v>66</v>
      </c>
      <c r="S6" s="6" t="s">
        <v>67</v>
      </c>
      <c r="T6" s="6" t="s">
        <v>68</v>
      </c>
      <c r="U6" s="6" t="s">
        <v>111</v>
      </c>
      <c r="V6" s="6" t="s">
        <v>65</v>
      </c>
      <c r="W6" s="6" t="s">
        <v>70</v>
      </c>
      <c r="X6" s="7"/>
      <c r="Y6" s="6" t="s">
        <v>65</v>
      </c>
      <c r="Z6" s="6" t="s">
        <v>65</v>
      </c>
      <c r="AA6" s="6" t="s">
        <v>65</v>
      </c>
      <c r="AB6" s="8">
        <v>0</v>
      </c>
      <c r="AC6" s="7"/>
      <c r="AD6" s="7"/>
      <c r="AE6" s="7"/>
      <c r="AF6" s="7"/>
      <c r="AG6" s="6" t="s">
        <v>72</v>
      </c>
      <c r="AH6" s="6" t="s">
        <v>73</v>
      </c>
      <c r="AI6" s="6" t="s">
        <v>112</v>
      </c>
      <c r="AJ6" s="7">
        <v>47233</v>
      </c>
      <c r="AK6" s="6" t="s">
        <v>65</v>
      </c>
      <c r="AL6" s="6" t="s">
        <v>65</v>
      </c>
      <c r="AM6" s="6" t="s">
        <v>65</v>
      </c>
      <c r="AN6" s="9">
        <v>0</v>
      </c>
      <c r="AO6" s="9">
        <v>0</v>
      </c>
      <c r="AP6" s="6" t="s">
        <v>113</v>
      </c>
      <c r="AQ6" s="8">
        <v>2550000</v>
      </c>
      <c r="AR6" s="7">
        <v>46234</v>
      </c>
      <c r="AS6" s="6" t="s">
        <v>65</v>
      </c>
      <c r="AT6" s="6" t="s">
        <v>65</v>
      </c>
      <c r="AU6" s="6" t="s">
        <v>114</v>
      </c>
    </row>
    <row r="7" spans="1:47">
      <c r="A7" t="str">
        <f t="shared" si="0"/>
        <v>CKC-035</v>
      </c>
      <c r="B7" s="5" t="s">
        <v>52</v>
      </c>
      <c r="C7" s="6" t="s">
        <v>53</v>
      </c>
      <c r="D7" s="7">
        <v>46190</v>
      </c>
      <c r="E7" s="7">
        <v>2958465</v>
      </c>
      <c r="F7" s="6" t="s">
        <v>115</v>
      </c>
      <c r="G7" s="6" t="s">
        <v>55</v>
      </c>
      <c r="H7" s="6" t="s">
        <v>56</v>
      </c>
      <c r="I7" s="6" t="s">
        <v>57</v>
      </c>
      <c r="J7" s="6" t="s">
        <v>58</v>
      </c>
      <c r="K7" s="6" t="s">
        <v>116</v>
      </c>
      <c r="L7" s="6" t="s">
        <v>117</v>
      </c>
      <c r="M7" s="6" t="s">
        <v>118</v>
      </c>
      <c r="N7" s="6" t="s">
        <v>119</v>
      </c>
      <c r="O7" s="6" t="s">
        <v>120</v>
      </c>
      <c r="P7" s="6" t="s">
        <v>121</v>
      </c>
      <c r="Q7" s="6" t="s">
        <v>122</v>
      </c>
      <c r="R7" s="6" t="s">
        <v>66</v>
      </c>
      <c r="S7" s="6" t="s">
        <v>123</v>
      </c>
      <c r="T7" s="6" t="s">
        <v>68</v>
      </c>
      <c r="U7" s="6" t="s">
        <v>124</v>
      </c>
      <c r="V7" s="6" t="s">
        <v>65</v>
      </c>
      <c r="W7" s="6" t="s">
        <v>70</v>
      </c>
      <c r="X7" s="7"/>
      <c r="Y7" s="6" t="s">
        <v>65</v>
      </c>
      <c r="Z7" s="6" t="s">
        <v>71</v>
      </c>
      <c r="AA7" s="6" t="s">
        <v>71</v>
      </c>
      <c r="AB7" s="8">
        <v>250000</v>
      </c>
      <c r="AC7" s="7">
        <v>46143</v>
      </c>
      <c r="AD7" s="7">
        <v>45911</v>
      </c>
      <c r="AE7" s="7">
        <v>46503</v>
      </c>
      <c r="AF7" s="7">
        <v>46276</v>
      </c>
      <c r="AG7" s="6" t="s">
        <v>72</v>
      </c>
      <c r="AH7" s="6" t="s">
        <v>73</v>
      </c>
      <c r="AI7" s="6" t="s">
        <v>125</v>
      </c>
      <c r="AJ7" s="7">
        <v>46601</v>
      </c>
      <c r="AK7" s="6" t="s">
        <v>74</v>
      </c>
      <c r="AL7" s="6" t="s">
        <v>126</v>
      </c>
      <c r="AM7" s="6" t="s">
        <v>127</v>
      </c>
      <c r="AN7" s="9">
        <v>48473.01</v>
      </c>
      <c r="AO7" s="9">
        <v>44068.46</v>
      </c>
      <c r="AP7" s="6" t="s">
        <v>128</v>
      </c>
      <c r="AQ7" s="8">
        <v>4100000</v>
      </c>
      <c r="AR7" s="7">
        <v>45183</v>
      </c>
      <c r="AS7" s="6" t="s">
        <v>77</v>
      </c>
      <c r="AT7" s="6" t="s">
        <v>77</v>
      </c>
      <c r="AU7" s="6" t="s">
        <v>129</v>
      </c>
    </row>
    <row r="8" spans="1:47">
      <c r="A8" t="str">
        <f t="shared" si="0"/>
        <v>SAD-001</v>
      </c>
      <c r="B8" s="5" t="s">
        <v>52</v>
      </c>
      <c r="C8" s="6" t="s">
        <v>53</v>
      </c>
      <c r="D8" s="7">
        <v>46190</v>
      </c>
      <c r="E8" s="7">
        <v>2958465</v>
      </c>
      <c r="F8" s="6" t="s">
        <v>130</v>
      </c>
      <c r="G8" s="6" t="s">
        <v>55</v>
      </c>
      <c r="H8" s="6" t="s">
        <v>56</v>
      </c>
      <c r="I8" s="6" t="s">
        <v>57</v>
      </c>
      <c r="J8" s="6" t="s">
        <v>58</v>
      </c>
      <c r="K8" s="6" t="s">
        <v>131</v>
      </c>
      <c r="L8" s="6" t="s">
        <v>132</v>
      </c>
      <c r="M8" s="6" t="s">
        <v>133</v>
      </c>
      <c r="N8" s="6" t="s">
        <v>134</v>
      </c>
      <c r="O8" s="6" t="s">
        <v>135</v>
      </c>
      <c r="P8" s="6" t="s">
        <v>136</v>
      </c>
      <c r="Q8" s="6" t="s">
        <v>137</v>
      </c>
      <c r="R8" s="6" t="s">
        <v>66</v>
      </c>
      <c r="S8" s="6" t="s">
        <v>138</v>
      </c>
      <c r="T8" s="6" t="s">
        <v>68</v>
      </c>
      <c r="U8" s="6" t="s">
        <v>139</v>
      </c>
      <c r="V8" s="6" t="s">
        <v>140</v>
      </c>
      <c r="W8" s="6" t="s">
        <v>70</v>
      </c>
      <c r="X8" s="7"/>
      <c r="Y8" s="6" t="s">
        <v>65</v>
      </c>
      <c r="Z8" s="6" t="s">
        <v>141</v>
      </c>
      <c r="AA8" s="6" t="s">
        <v>71</v>
      </c>
      <c r="AB8" s="8">
        <v>0</v>
      </c>
      <c r="AC8" s="7"/>
      <c r="AD8" s="7">
        <v>45911</v>
      </c>
      <c r="AE8" s="7"/>
      <c r="AF8" s="7">
        <v>46276</v>
      </c>
      <c r="AG8" s="6" t="s">
        <v>72</v>
      </c>
      <c r="AH8" s="6" t="s">
        <v>73</v>
      </c>
      <c r="AI8" s="6" t="s">
        <v>142</v>
      </c>
      <c r="AJ8" s="7">
        <v>46400</v>
      </c>
      <c r="AK8" s="6" t="s">
        <v>65</v>
      </c>
      <c r="AL8" s="6" t="s">
        <v>65</v>
      </c>
      <c r="AM8" s="6" t="s">
        <v>143</v>
      </c>
      <c r="AN8" s="9">
        <v>0</v>
      </c>
      <c r="AO8" s="9">
        <v>9500.01</v>
      </c>
      <c r="AP8" s="6" t="s">
        <v>73</v>
      </c>
      <c r="AQ8" s="8">
        <v>350000</v>
      </c>
      <c r="AR8" s="7">
        <v>45189</v>
      </c>
      <c r="AS8" s="6" t="s">
        <v>65</v>
      </c>
      <c r="AT8" s="6" t="s">
        <v>77</v>
      </c>
      <c r="AU8" s="6" t="s">
        <v>144</v>
      </c>
    </row>
    <row r="9" spans="1:47">
      <c r="A9" t="str">
        <f t="shared" si="0"/>
        <v>BKL-011</v>
      </c>
      <c r="B9" s="5" t="s">
        <v>52</v>
      </c>
      <c r="C9" s="6" t="s">
        <v>53</v>
      </c>
      <c r="D9" s="7">
        <v>46252</v>
      </c>
      <c r="E9" s="7">
        <v>2958465</v>
      </c>
      <c r="F9" s="6" t="s">
        <v>145</v>
      </c>
      <c r="G9" s="6" t="s">
        <v>55</v>
      </c>
      <c r="H9" s="6" t="s">
        <v>56</v>
      </c>
      <c r="I9" s="6" t="s">
        <v>57</v>
      </c>
      <c r="J9" s="6" t="s">
        <v>58</v>
      </c>
      <c r="K9" s="6" t="s">
        <v>146</v>
      </c>
      <c r="L9" s="6" t="s">
        <v>147</v>
      </c>
      <c r="M9" s="6" t="s">
        <v>148</v>
      </c>
      <c r="N9" s="6" t="s">
        <v>149</v>
      </c>
      <c r="O9" s="6" t="s">
        <v>150</v>
      </c>
      <c r="P9" s="6" t="s">
        <v>151</v>
      </c>
      <c r="Q9" s="6" t="s">
        <v>152</v>
      </c>
      <c r="R9" s="6" t="s">
        <v>66</v>
      </c>
      <c r="S9" s="6" t="s">
        <v>153</v>
      </c>
      <c r="T9" s="6" t="s">
        <v>68</v>
      </c>
      <c r="U9" s="6" t="s">
        <v>1025</v>
      </c>
      <c r="V9" s="6" t="s">
        <v>140</v>
      </c>
      <c r="W9" s="6" t="s">
        <v>70</v>
      </c>
      <c r="X9" s="7"/>
      <c r="Y9" s="6" t="s">
        <v>65</v>
      </c>
      <c r="Z9" s="6" t="s">
        <v>71</v>
      </c>
      <c r="AA9" s="6" t="s">
        <v>154</v>
      </c>
      <c r="AB9" s="8">
        <v>110000</v>
      </c>
      <c r="AC9" s="7">
        <v>45231</v>
      </c>
      <c r="AD9" s="7">
        <v>44074</v>
      </c>
      <c r="AE9" s="7">
        <v>45595</v>
      </c>
      <c r="AF9" s="7">
        <v>44439</v>
      </c>
      <c r="AG9" s="6" t="s">
        <v>72</v>
      </c>
      <c r="AH9" s="6" t="s">
        <v>73</v>
      </c>
      <c r="AI9" s="6" t="s">
        <v>155</v>
      </c>
      <c r="AJ9" s="7"/>
      <c r="AK9" s="6" t="s">
        <v>74</v>
      </c>
      <c r="AL9" s="6" t="s">
        <v>156</v>
      </c>
      <c r="AM9" s="6" t="s">
        <v>157</v>
      </c>
      <c r="AN9" s="9">
        <v>3030</v>
      </c>
      <c r="AO9" s="9">
        <v>0</v>
      </c>
      <c r="AP9" s="6" t="s">
        <v>73</v>
      </c>
      <c r="AQ9" s="8">
        <v>2200000</v>
      </c>
      <c r="AR9" s="7">
        <v>45183</v>
      </c>
      <c r="AS9" s="6" t="s">
        <v>77</v>
      </c>
      <c r="AT9" s="6" t="s">
        <v>65</v>
      </c>
      <c r="AU9" s="6" t="s">
        <v>158</v>
      </c>
    </row>
    <row r="10" spans="1:47">
      <c r="A10" t="str">
        <f t="shared" si="0"/>
        <v>BKL-012</v>
      </c>
      <c r="B10" s="5" t="s">
        <v>52</v>
      </c>
      <c r="C10" s="6" t="s">
        <v>53</v>
      </c>
      <c r="D10" s="7">
        <v>46244</v>
      </c>
      <c r="E10" s="7">
        <v>2958465</v>
      </c>
      <c r="F10" s="6" t="s">
        <v>159</v>
      </c>
      <c r="G10" s="6" t="s">
        <v>93</v>
      </c>
      <c r="H10" s="6" t="s">
        <v>94</v>
      </c>
      <c r="I10" s="6" t="s">
        <v>95</v>
      </c>
      <c r="J10" s="6" t="s">
        <v>96</v>
      </c>
      <c r="K10" s="6" t="s">
        <v>146</v>
      </c>
      <c r="L10" s="6" t="s">
        <v>160</v>
      </c>
      <c r="M10" s="6" t="s">
        <v>148</v>
      </c>
      <c r="N10" s="6" t="s">
        <v>149</v>
      </c>
      <c r="O10" s="6" t="s">
        <v>161</v>
      </c>
      <c r="P10" s="6" t="s">
        <v>151</v>
      </c>
      <c r="Q10" s="6" t="s">
        <v>162</v>
      </c>
      <c r="R10" s="6" t="s">
        <v>66</v>
      </c>
      <c r="S10" s="6" t="s">
        <v>153</v>
      </c>
      <c r="T10" s="6" t="s">
        <v>68</v>
      </c>
      <c r="U10" s="6" t="s">
        <v>163</v>
      </c>
      <c r="V10" s="6" t="s">
        <v>140</v>
      </c>
      <c r="W10" s="6" t="s">
        <v>70</v>
      </c>
      <c r="X10" s="7"/>
      <c r="Y10" s="6" t="s">
        <v>65</v>
      </c>
      <c r="Z10" s="6" t="s">
        <v>164</v>
      </c>
      <c r="AA10" s="6" t="s">
        <v>154</v>
      </c>
      <c r="AB10" s="8">
        <v>110000</v>
      </c>
      <c r="AC10" s="7">
        <v>45960</v>
      </c>
      <c r="AD10" s="7">
        <v>44074</v>
      </c>
      <c r="AE10" s="7">
        <v>46325</v>
      </c>
      <c r="AF10" s="7">
        <v>44439</v>
      </c>
      <c r="AG10" s="6" t="s">
        <v>72</v>
      </c>
      <c r="AH10" s="6" t="s">
        <v>73</v>
      </c>
      <c r="AI10" s="6" t="s">
        <v>165</v>
      </c>
      <c r="AJ10" s="7"/>
      <c r="AK10" s="6" t="s">
        <v>74</v>
      </c>
      <c r="AL10" s="6" t="s">
        <v>166</v>
      </c>
      <c r="AM10" s="6" t="s">
        <v>157</v>
      </c>
      <c r="AN10" s="9">
        <v>11361</v>
      </c>
      <c r="AO10" s="9">
        <v>0</v>
      </c>
      <c r="AP10" s="6" t="s">
        <v>73</v>
      </c>
      <c r="AQ10" s="8">
        <v>1500000</v>
      </c>
      <c r="AR10" s="7">
        <v>45183</v>
      </c>
      <c r="AS10" s="6" t="s">
        <v>77</v>
      </c>
      <c r="AT10" s="6" t="s">
        <v>65</v>
      </c>
      <c r="AU10" s="6" t="s">
        <v>167</v>
      </c>
    </row>
    <row r="11" spans="1:47">
      <c r="A11" t="str">
        <f t="shared" si="0"/>
        <v>BKL-021</v>
      </c>
      <c r="B11" s="5" t="s">
        <v>52</v>
      </c>
      <c r="C11" s="6" t="s">
        <v>53</v>
      </c>
      <c r="D11" s="7">
        <v>46223</v>
      </c>
      <c r="E11" s="7">
        <v>2958465</v>
      </c>
      <c r="F11" s="6" t="s">
        <v>168</v>
      </c>
      <c r="G11" s="6" t="s">
        <v>55</v>
      </c>
      <c r="H11" s="6" t="s">
        <v>56</v>
      </c>
      <c r="I11" s="6" t="s">
        <v>57</v>
      </c>
      <c r="J11" s="6" t="s">
        <v>58</v>
      </c>
      <c r="K11" s="6" t="s">
        <v>146</v>
      </c>
      <c r="L11" s="6" t="s">
        <v>169</v>
      </c>
      <c r="M11" s="6" t="s">
        <v>148</v>
      </c>
      <c r="N11" s="6" t="s">
        <v>170</v>
      </c>
      <c r="O11" s="6" t="s">
        <v>171</v>
      </c>
      <c r="P11" s="6" t="s">
        <v>151</v>
      </c>
      <c r="Q11" s="6" t="s">
        <v>172</v>
      </c>
      <c r="R11" s="6" t="s">
        <v>66</v>
      </c>
      <c r="S11" s="6" t="s">
        <v>153</v>
      </c>
      <c r="T11" s="6" t="s">
        <v>68</v>
      </c>
      <c r="U11" s="6" t="s">
        <v>173</v>
      </c>
      <c r="V11" s="6" t="s">
        <v>140</v>
      </c>
      <c r="W11" s="6" t="s">
        <v>70</v>
      </c>
      <c r="X11" s="7">
        <v>45657</v>
      </c>
      <c r="Y11" s="6" t="s">
        <v>65</v>
      </c>
      <c r="Z11" s="6" t="s">
        <v>174</v>
      </c>
      <c r="AA11" s="6" t="s">
        <v>71</v>
      </c>
      <c r="AB11" s="8">
        <v>110000</v>
      </c>
      <c r="AC11" s="7">
        <v>45901</v>
      </c>
      <c r="AD11" s="7">
        <v>45011</v>
      </c>
      <c r="AE11" s="7">
        <v>46255</v>
      </c>
      <c r="AF11" s="7">
        <v>45377</v>
      </c>
      <c r="AG11" s="6" t="s">
        <v>72</v>
      </c>
      <c r="AH11" s="6" t="s">
        <v>73</v>
      </c>
      <c r="AI11" s="6" t="s">
        <v>175</v>
      </c>
      <c r="AJ11" s="7"/>
      <c r="AK11" s="6" t="s">
        <v>74</v>
      </c>
      <c r="AL11" s="6" t="s">
        <v>176</v>
      </c>
      <c r="AM11" s="6" t="s">
        <v>177</v>
      </c>
      <c r="AN11" s="9">
        <v>12346.44</v>
      </c>
      <c r="AO11" s="9">
        <v>2593.4499999999998</v>
      </c>
      <c r="AP11" s="6" t="s">
        <v>178</v>
      </c>
      <c r="AQ11" s="8">
        <v>2900000</v>
      </c>
      <c r="AR11" s="7">
        <v>45183</v>
      </c>
      <c r="AS11" s="6" t="s">
        <v>179</v>
      </c>
      <c r="AT11" s="6" t="s">
        <v>77</v>
      </c>
      <c r="AU11" s="6" t="s">
        <v>180</v>
      </c>
    </row>
    <row r="12" spans="1:47">
      <c r="A12" t="str">
        <f t="shared" si="0"/>
        <v>BTF-001</v>
      </c>
      <c r="B12" s="5" t="s">
        <v>52</v>
      </c>
      <c r="C12" s="6" t="s">
        <v>53</v>
      </c>
      <c r="D12" s="7">
        <v>46253</v>
      </c>
      <c r="E12" s="7">
        <v>2958465</v>
      </c>
      <c r="F12" s="6" t="s">
        <v>181</v>
      </c>
      <c r="G12" s="6" t="s">
        <v>93</v>
      </c>
      <c r="H12" s="6" t="s">
        <v>94</v>
      </c>
      <c r="I12" s="6" t="s">
        <v>95</v>
      </c>
      <c r="J12" s="6" t="s">
        <v>96</v>
      </c>
      <c r="K12" s="6" t="s">
        <v>146</v>
      </c>
      <c r="L12" s="6" t="s">
        <v>182</v>
      </c>
      <c r="M12" s="6" t="s">
        <v>183</v>
      </c>
      <c r="N12" s="6" t="s">
        <v>184</v>
      </c>
      <c r="O12" s="6" t="s">
        <v>185</v>
      </c>
      <c r="P12" s="6" t="s">
        <v>186</v>
      </c>
      <c r="Q12" s="6" t="s">
        <v>172</v>
      </c>
      <c r="R12" s="6" t="s">
        <v>66</v>
      </c>
      <c r="S12" s="6" t="s">
        <v>187</v>
      </c>
      <c r="T12" s="6" t="s">
        <v>68</v>
      </c>
      <c r="U12" s="6" t="s">
        <v>188</v>
      </c>
      <c r="V12" s="6" t="s">
        <v>140</v>
      </c>
      <c r="W12" s="6" t="s">
        <v>70</v>
      </c>
      <c r="X12" s="7"/>
      <c r="Y12" s="6" t="s">
        <v>65</v>
      </c>
      <c r="Z12" s="6" t="s">
        <v>65</v>
      </c>
      <c r="AA12" s="6" t="s">
        <v>154</v>
      </c>
      <c r="AB12" s="8">
        <v>350000</v>
      </c>
      <c r="AC12" s="7"/>
      <c r="AD12" s="7">
        <v>44074</v>
      </c>
      <c r="AE12" s="7"/>
      <c r="AF12" s="7">
        <v>44439</v>
      </c>
      <c r="AG12" s="6" t="s">
        <v>72</v>
      </c>
      <c r="AH12" s="6" t="s">
        <v>73</v>
      </c>
      <c r="AI12" s="6" t="s">
        <v>189</v>
      </c>
      <c r="AJ12" s="7"/>
      <c r="AK12" s="6" t="s">
        <v>74</v>
      </c>
      <c r="AL12" s="6" t="s">
        <v>65</v>
      </c>
      <c r="AM12" s="6" t="s">
        <v>157</v>
      </c>
      <c r="AN12" s="9">
        <v>0</v>
      </c>
      <c r="AO12" s="9">
        <v>0</v>
      </c>
      <c r="AP12" s="6" t="s">
        <v>73</v>
      </c>
      <c r="AQ12" s="8">
        <v>350000</v>
      </c>
      <c r="AR12" s="7">
        <v>45183</v>
      </c>
      <c r="AS12" s="6" t="s">
        <v>65</v>
      </c>
      <c r="AT12" s="6" t="s">
        <v>65</v>
      </c>
      <c r="AU12" s="6" t="s">
        <v>190</v>
      </c>
    </row>
    <row r="13" spans="1:47">
      <c r="A13" t="str">
        <f t="shared" si="0"/>
        <v>DZR-001</v>
      </c>
      <c r="B13" s="5" t="s">
        <v>52</v>
      </c>
      <c r="C13" s="6" t="s">
        <v>53</v>
      </c>
      <c r="D13" s="7">
        <v>46253</v>
      </c>
      <c r="E13" s="7">
        <v>2958465</v>
      </c>
      <c r="F13" s="6" t="s">
        <v>191</v>
      </c>
      <c r="G13" s="6" t="s">
        <v>93</v>
      </c>
      <c r="H13" s="6" t="s">
        <v>94</v>
      </c>
      <c r="I13" s="6" t="s">
        <v>95</v>
      </c>
      <c r="J13" s="6" t="s">
        <v>96</v>
      </c>
      <c r="K13" s="6" t="s">
        <v>146</v>
      </c>
      <c r="L13" s="6" t="s">
        <v>192</v>
      </c>
      <c r="M13" s="6" t="s">
        <v>193</v>
      </c>
      <c r="N13" s="6" t="s">
        <v>194</v>
      </c>
      <c r="O13" s="6" t="s">
        <v>195</v>
      </c>
      <c r="P13" s="6" t="s">
        <v>196</v>
      </c>
      <c r="Q13" s="6" t="s">
        <v>197</v>
      </c>
      <c r="R13" s="6" t="s">
        <v>66</v>
      </c>
      <c r="S13" s="6" t="s">
        <v>198</v>
      </c>
      <c r="T13" s="6" t="s">
        <v>68</v>
      </c>
      <c r="U13" s="6" t="s">
        <v>199</v>
      </c>
      <c r="V13" s="6" t="s">
        <v>140</v>
      </c>
      <c r="W13" s="6" t="s">
        <v>70</v>
      </c>
      <c r="X13" s="7"/>
      <c r="Y13" s="6" t="s">
        <v>65</v>
      </c>
      <c r="Z13" s="6" t="s">
        <v>65</v>
      </c>
      <c r="AA13" s="6" t="s">
        <v>154</v>
      </c>
      <c r="AB13" s="8">
        <v>450000</v>
      </c>
      <c r="AC13" s="7"/>
      <c r="AD13" s="7">
        <v>44074</v>
      </c>
      <c r="AE13" s="7"/>
      <c r="AF13" s="7">
        <v>44439</v>
      </c>
      <c r="AG13" s="6" t="s">
        <v>72</v>
      </c>
      <c r="AH13" s="6" t="s">
        <v>73</v>
      </c>
      <c r="AI13" s="6" t="s">
        <v>200</v>
      </c>
      <c r="AJ13" s="7"/>
      <c r="AK13" s="6" t="s">
        <v>74</v>
      </c>
      <c r="AL13" s="6" t="s">
        <v>65</v>
      </c>
      <c r="AM13" s="6" t="s">
        <v>157</v>
      </c>
      <c r="AN13" s="9">
        <v>0</v>
      </c>
      <c r="AO13" s="9">
        <v>0</v>
      </c>
      <c r="AP13" s="6" t="s">
        <v>73</v>
      </c>
      <c r="AQ13" s="8">
        <v>260000</v>
      </c>
      <c r="AR13" s="7">
        <v>45185</v>
      </c>
      <c r="AS13" s="6" t="s">
        <v>65</v>
      </c>
      <c r="AT13" s="6" t="s">
        <v>65</v>
      </c>
      <c r="AU13" s="6" t="s">
        <v>201</v>
      </c>
    </row>
    <row r="14" spans="1:47">
      <c r="A14" t="str">
        <f t="shared" si="0"/>
        <v>DZR-002</v>
      </c>
      <c r="B14" s="5" t="s">
        <v>52</v>
      </c>
      <c r="C14" s="6" t="s">
        <v>53</v>
      </c>
      <c r="D14" s="7">
        <v>46107</v>
      </c>
      <c r="E14" s="7">
        <v>2958465</v>
      </c>
      <c r="F14" s="6" t="s">
        <v>202</v>
      </c>
      <c r="G14" s="6" t="s">
        <v>55</v>
      </c>
      <c r="H14" s="6" t="s">
        <v>56</v>
      </c>
      <c r="I14" s="6" t="s">
        <v>57</v>
      </c>
      <c r="J14" s="6" t="s">
        <v>58</v>
      </c>
      <c r="K14" s="6" t="s">
        <v>146</v>
      </c>
      <c r="L14" s="6" t="s">
        <v>203</v>
      </c>
      <c r="M14" s="6" t="s">
        <v>204</v>
      </c>
      <c r="N14" s="6" t="s">
        <v>205</v>
      </c>
      <c r="O14" s="6" t="s">
        <v>206</v>
      </c>
      <c r="P14" s="6" t="s">
        <v>207</v>
      </c>
      <c r="Q14" s="6" t="s">
        <v>197</v>
      </c>
      <c r="R14" s="6" t="s">
        <v>66</v>
      </c>
      <c r="S14" s="6" t="s">
        <v>198</v>
      </c>
      <c r="T14" s="6" t="s">
        <v>68</v>
      </c>
      <c r="U14" s="6" t="s">
        <v>208</v>
      </c>
      <c r="V14" s="6" t="s">
        <v>140</v>
      </c>
      <c r="W14" s="6" t="s">
        <v>70</v>
      </c>
      <c r="X14" s="7"/>
      <c r="Y14" s="6" t="s">
        <v>65</v>
      </c>
      <c r="Z14" s="6" t="s">
        <v>65</v>
      </c>
      <c r="AA14" s="6" t="s">
        <v>154</v>
      </c>
      <c r="AB14" s="8">
        <v>400000</v>
      </c>
      <c r="AC14" s="7"/>
      <c r="AD14" s="7">
        <v>44074</v>
      </c>
      <c r="AE14" s="7"/>
      <c r="AF14" s="7">
        <v>44439</v>
      </c>
      <c r="AG14" s="6" t="s">
        <v>72</v>
      </c>
      <c r="AH14" s="6" t="s">
        <v>73</v>
      </c>
      <c r="AI14" s="6" t="s">
        <v>209</v>
      </c>
      <c r="AJ14" s="7"/>
      <c r="AK14" s="6" t="s">
        <v>74</v>
      </c>
      <c r="AL14" s="6" t="s">
        <v>65</v>
      </c>
      <c r="AM14" s="6" t="s">
        <v>157</v>
      </c>
      <c r="AN14" s="9">
        <v>0</v>
      </c>
      <c r="AO14" s="9">
        <v>0</v>
      </c>
      <c r="AP14" s="6" t="s">
        <v>73</v>
      </c>
      <c r="AQ14" s="8">
        <v>160000</v>
      </c>
      <c r="AR14" s="7">
        <v>45236</v>
      </c>
      <c r="AS14" s="6" t="s">
        <v>65</v>
      </c>
      <c r="AT14" s="6" t="s">
        <v>65</v>
      </c>
      <c r="AU14" s="6" t="s">
        <v>210</v>
      </c>
    </row>
    <row r="15" spans="1:47">
      <c r="A15" t="str">
        <f t="shared" si="0"/>
        <v>DZR-004</v>
      </c>
      <c r="B15" s="5" t="s">
        <v>52</v>
      </c>
      <c r="C15" s="6" t="s">
        <v>53</v>
      </c>
      <c r="D15" s="7">
        <v>46244</v>
      </c>
      <c r="E15" s="7">
        <v>2958465</v>
      </c>
      <c r="F15" s="6" t="s">
        <v>211</v>
      </c>
      <c r="G15" s="6" t="s">
        <v>93</v>
      </c>
      <c r="H15" s="6" t="s">
        <v>94</v>
      </c>
      <c r="I15" s="6" t="s">
        <v>95</v>
      </c>
      <c r="J15" s="6" t="s">
        <v>96</v>
      </c>
      <c r="K15" s="6" t="s">
        <v>146</v>
      </c>
      <c r="L15" s="6" t="s">
        <v>212</v>
      </c>
      <c r="M15" s="6" t="s">
        <v>193</v>
      </c>
      <c r="N15" s="6" t="s">
        <v>194</v>
      </c>
      <c r="O15" s="6" t="s">
        <v>213</v>
      </c>
      <c r="P15" s="6" t="s">
        <v>196</v>
      </c>
      <c r="Q15" s="6" t="s">
        <v>214</v>
      </c>
      <c r="R15" s="6" t="s">
        <v>66</v>
      </c>
      <c r="S15" s="6" t="s">
        <v>198</v>
      </c>
      <c r="T15" s="6" t="s">
        <v>68</v>
      </c>
      <c r="U15" s="6" t="s">
        <v>215</v>
      </c>
      <c r="V15" s="6" t="s">
        <v>140</v>
      </c>
      <c r="W15" s="6" t="s">
        <v>70</v>
      </c>
      <c r="X15" s="7">
        <v>45322</v>
      </c>
      <c r="Y15" s="6" t="s">
        <v>65</v>
      </c>
      <c r="Z15" s="6" t="s">
        <v>65</v>
      </c>
      <c r="AA15" s="6" t="s">
        <v>154</v>
      </c>
      <c r="AB15" s="8">
        <v>450000</v>
      </c>
      <c r="AC15" s="7"/>
      <c r="AD15" s="7">
        <v>44074</v>
      </c>
      <c r="AE15" s="7"/>
      <c r="AF15" s="7">
        <v>44439</v>
      </c>
      <c r="AG15" s="6" t="s">
        <v>72</v>
      </c>
      <c r="AH15" s="6" t="s">
        <v>73</v>
      </c>
      <c r="AI15" s="6" t="s">
        <v>216</v>
      </c>
      <c r="AJ15" s="7"/>
      <c r="AK15" s="6" t="s">
        <v>74</v>
      </c>
      <c r="AL15" s="6" t="s">
        <v>65</v>
      </c>
      <c r="AM15" s="6" t="s">
        <v>157</v>
      </c>
      <c r="AN15" s="9">
        <v>0</v>
      </c>
      <c r="AO15" s="9">
        <v>0</v>
      </c>
      <c r="AP15" s="6" t="s">
        <v>73</v>
      </c>
      <c r="AQ15" s="8">
        <v>260000</v>
      </c>
      <c r="AR15" s="7">
        <v>45185</v>
      </c>
      <c r="AS15" s="6" t="s">
        <v>65</v>
      </c>
      <c r="AT15" s="6" t="s">
        <v>65</v>
      </c>
      <c r="AU15" s="6" t="s">
        <v>217</v>
      </c>
    </row>
    <row r="16" spans="1:47">
      <c r="A16" t="str">
        <f t="shared" si="0"/>
        <v>EKS-011</v>
      </c>
      <c r="B16" s="5" t="s">
        <v>52</v>
      </c>
      <c r="C16" s="6" t="s">
        <v>53</v>
      </c>
      <c r="D16" s="7">
        <v>46255</v>
      </c>
      <c r="E16" s="7">
        <v>2958465</v>
      </c>
      <c r="F16" s="6" t="s">
        <v>218</v>
      </c>
      <c r="G16" s="6" t="s">
        <v>93</v>
      </c>
      <c r="H16" s="6" t="s">
        <v>94</v>
      </c>
      <c r="I16" s="6" t="s">
        <v>95</v>
      </c>
      <c r="J16" s="6" t="s">
        <v>96</v>
      </c>
      <c r="K16" s="6" t="s">
        <v>146</v>
      </c>
      <c r="L16" s="6" t="s">
        <v>219</v>
      </c>
      <c r="M16" s="6" t="s">
        <v>220</v>
      </c>
      <c r="N16" s="6" t="s">
        <v>221</v>
      </c>
      <c r="O16" s="6" t="s">
        <v>222</v>
      </c>
      <c r="P16" s="6" t="s">
        <v>223</v>
      </c>
      <c r="Q16" s="6" t="s">
        <v>152</v>
      </c>
      <c r="R16" s="6" t="s">
        <v>66</v>
      </c>
      <c r="S16" s="6" t="s">
        <v>224</v>
      </c>
      <c r="T16" s="6" t="s">
        <v>68</v>
      </c>
      <c r="U16" s="6" t="s">
        <v>1026</v>
      </c>
      <c r="V16" s="6" t="s">
        <v>140</v>
      </c>
      <c r="W16" s="6" t="s">
        <v>70</v>
      </c>
      <c r="X16" s="7">
        <v>44316</v>
      </c>
      <c r="Y16" s="6" t="s">
        <v>65</v>
      </c>
      <c r="Z16" s="6" t="s">
        <v>65</v>
      </c>
      <c r="AA16" s="6" t="s">
        <v>154</v>
      </c>
      <c r="AB16" s="8">
        <v>350000</v>
      </c>
      <c r="AC16" s="7"/>
      <c r="AD16" s="7">
        <v>44074</v>
      </c>
      <c r="AE16" s="7"/>
      <c r="AF16" s="7">
        <v>44439</v>
      </c>
      <c r="AG16" s="6" t="s">
        <v>72</v>
      </c>
      <c r="AH16" s="6" t="s">
        <v>73</v>
      </c>
      <c r="AI16" s="6" t="s">
        <v>225</v>
      </c>
      <c r="AJ16" s="7"/>
      <c r="AK16" s="6" t="s">
        <v>74</v>
      </c>
      <c r="AL16" s="6" t="s">
        <v>65</v>
      </c>
      <c r="AM16" s="6" t="s">
        <v>226</v>
      </c>
      <c r="AN16" s="9">
        <v>0</v>
      </c>
      <c r="AO16" s="9">
        <v>0</v>
      </c>
      <c r="AP16" s="6" t="s">
        <v>73</v>
      </c>
      <c r="AQ16" s="8">
        <v>230000</v>
      </c>
      <c r="AR16" s="7">
        <v>45236</v>
      </c>
      <c r="AS16" s="6" t="s">
        <v>65</v>
      </c>
      <c r="AT16" s="6" t="s">
        <v>65</v>
      </c>
      <c r="AU16" s="6" t="s">
        <v>227</v>
      </c>
    </row>
    <row r="17" spans="1:47">
      <c r="A17" t="str">
        <f t="shared" si="0"/>
        <v>EKS-013</v>
      </c>
      <c r="B17" s="5" t="s">
        <v>52</v>
      </c>
      <c r="C17" s="6" t="s">
        <v>53</v>
      </c>
      <c r="D17" s="7">
        <v>46261</v>
      </c>
      <c r="E17" s="7">
        <v>2958465</v>
      </c>
      <c r="F17" s="6" t="s">
        <v>228</v>
      </c>
      <c r="G17" s="6" t="s">
        <v>55</v>
      </c>
      <c r="H17" s="6" t="s">
        <v>56</v>
      </c>
      <c r="I17" s="6" t="s">
        <v>57</v>
      </c>
      <c r="J17" s="6" t="s">
        <v>58</v>
      </c>
      <c r="K17" s="6" t="s">
        <v>146</v>
      </c>
      <c r="L17" s="6" t="s">
        <v>229</v>
      </c>
      <c r="M17" s="6" t="s">
        <v>230</v>
      </c>
      <c r="N17" s="6" t="s">
        <v>231</v>
      </c>
      <c r="O17" s="6" t="s">
        <v>232</v>
      </c>
      <c r="P17" s="6" t="s">
        <v>223</v>
      </c>
      <c r="Q17" s="6" t="s">
        <v>152</v>
      </c>
      <c r="R17" s="6" t="s">
        <v>66</v>
      </c>
      <c r="S17" s="6" t="s">
        <v>224</v>
      </c>
      <c r="T17" s="6" t="s">
        <v>68</v>
      </c>
      <c r="U17" s="6" t="s">
        <v>233</v>
      </c>
      <c r="V17" s="6" t="s">
        <v>140</v>
      </c>
      <c r="W17" s="6" t="s">
        <v>70</v>
      </c>
      <c r="X17" s="7">
        <v>44316</v>
      </c>
      <c r="Y17" s="6" t="s">
        <v>65</v>
      </c>
      <c r="Z17" s="6" t="s">
        <v>71</v>
      </c>
      <c r="AA17" s="6" t="s">
        <v>154</v>
      </c>
      <c r="AB17" s="8">
        <v>200000</v>
      </c>
      <c r="AC17" s="7">
        <v>46169</v>
      </c>
      <c r="AD17" s="7">
        <v>44074</v>
      </c>
      <c r="AE17" s="7">
        <v>46534</v>
      </c>
      <c r="AF17" s="7">
        <v>44439</v>
      </c>
      <c r="AG17" s="6" t="s">
        <v>72</v>
      </c>
      <c r="AH17" s="6" t="s">
        <v>234</v>
      </c>
      <c r="AI17" s="6" t="s">
        <v>235</v>
      </c>
      <c r="AJ17" s="7"/>
      <c r="AK17" s="6" t="s">
        <v>74</v>
      </c>
      <c r="AL17" s="6" t="s">
        <v>236</v>
      </c>
      <c r="AM17" s="6" t="s">
        <v>226</v>
      </c>
      <c r="AN17" s="9">
        <v>9984</v>
      </c>
      <c r="AO17" s="9">
        <v>0</v>
      </c>
      <c r="AP17" s="6" t="s">
        <v>178</v>
      </c>
      <c r="AQ17" s="8">
        <v>3100000</v>
      </c>
      <c r="AR17" s="7">
        <v>45236</v>
      </c>
      <c r="AS17" s="6" t="s">
        <v>77</v>
      </c>
      <c r="AT17" s="6" t="s">
        <v>65</v>
      </c>
      <c r="AU17" s="6" t="s">
        <v>237</v>
      </c>
    </row>
    <row r="18" spans="1:47">
      <c r="A18" t="str">
        <f t="shared" si="0"/>
        <v>FRK-005</v>
      </c>
      <c r="B18" s="5" t="s">
        <v>52</v>
      </c>
      <c r="C18" s="6" t="s">
        <v>53</v>
      </c>
      <c r="D18" s="7">
        <v>46261</v>
      </c>
      <c r="E18" s="7">
        <v>2958465</v>
      </c>
      <c r="F18" s="6" t="s">
        <v>238</v>
      </c>
      <c r="G18" s="6" t="s">
        <v>55</v>
      </c>
      <c r="H18" s="6" t="s">
        <v>56</v>
      </c>
      <c r="I18" s="6" t="s">
        <v>57</v>
      </c>
      <c r="J18" s="6" t="s">
        <v>58</v>
      </c>
      <c r="K18" s="6" t="s">
        <v>146</v>
      </c>
      <c r="L18" s="6" t="s">
        <v>239</v>
      </c>
      <c r="M18" s="6" t="s">
        <v>240</v>
      </c>
      <c r="N18" s="6" t="s">
        <v>241</v>
      </c>
      <c r="O18" s="6" t="s">
        <v>242</v>
      </c>
      <c r="P18" s="6" t="s">
        <v>65</v>
      </c>
      <c r="Q18" s="6" t="s">
        <v>243</v>
      </c>
      <c r="R18" s="6" t="s">
        <v>66</v>
      </c>
      <c r="S18" s="6" t="s">
        <v>244</v>
      </c>
      <c r="T18" s="6" t="s">
        <v>68</v>
      </c>
      <c r="U18" s="6" t="s">
        <v>245</v>
      </c>
      <c r="V18" s="6" t="s">
        <v>65</v>
      </c>
      <c r="W18" s="6" t="s">
        <v>70</v>
      </c>
      <c r="X18" s="7"/>
      <c r="Y18" s="6" t="s">
        <v>65</v>
      </c>
      <c r="Z18" s="6" t="s">
        <v>65</v>
      </c>
      <c r="AA18" s="6" t="s">
        <v>65</v>
      </c>
      <c r="AB18" s="8">
        <v>200000</v>
      </c>
      <c r="AC18" s="7"/>
      <c r="AD18" s="7"/>
      <c r="AE18" s="7"/>
      <c r="AF18" s="7"/>
      <c r="AG18" s="6" t="s">
        <v>72</v>
      </c>
      <c r="AH18" s="6" t="s">
        <v>73</v>
      </c>
      <c r="AI18" s="6" t="s">
        <v>246</v>
      </c>
      <c r="AJ18" s="7"/>
      <c r="AK18" s="6" t="s">
        <v>74</v>
      </c>
      <c r="AL18" s="6" t="s">
        <v>65</v>
      </c>
      <c r="AM18" s="6" t="s">
        <v>65</v>
      </c>
      <c r="AN18" s="9">
        <v>0</v>
      </c>
      <c r="AO18" s="9">
        <v>0</v>
      </c>
      <c r="AP18" s="6" t="s">
        <v>178</v>
      </c>
      <c r="AQ18" s="8">
        <v>140000</v>
      </c>
      <c r="AR18" s="7">
        <v>45236</v>
      </c>
      <c r="AS18" s="6" t="s">
        <v>65</v>
      </c>
      <c r="AT18" s="6" t="s">
        <v>65</v>
      </c>
      <c r="AU18" s="6" t="s">
        <v>247</v>
      </c>
    </row>
    <row r="19" spans="1:47">
      <c r="A19" t="str">
        <f t="shared" si="0"/>
        <v>GRY-009</v>
      </c>
      <c r="B19" s="5" t="s">
        <v>52</v>
      </c>
      <c r="C19" s="6" t="s">
        <v>53</v>
      </c>
      <c r="D19" s="7">
        <v>46226</v>
      </c>
      <c r="E19" s="7">
        <v>2958465</v>
      </c>
      <c r="F19" s="6" t="s">
        <v>248</v>
      </c>
      <c r="G19" s="6" t="s">
        <v>55</v>
      </c>
      <c r="H19" s="6" t="s">
        <v>56</v>
      </c>
      <c r="I19" s="6" t="s">
        <v>57</v>
      </c>
      <c r="J19" s="6" t="s">
        <v>58</v>
      </c>
      <c r="K19" s="6" t="s">
        <v>146</v>
      </c>
      <c r="L19" s="6" t="s">
        <v>249</v>
      </c>
      <c r="M19" s="6" t="s">
        <v>250</v>
      </c>
      <c r="N19" s="6" t="s">
        <v>251</v>
      </c>
      <c r="O19" s="6" t="s">
        <v>252</v>
      </c>
      <c r="P19" s="6" t="s">
        <v>207</v>
      </c>
      <c r="Q19" s="6" t="s">
        <v>253</v>
      </c>
      <c r="R19" s="6" t="s">
        <v>66</v>
      </c>
      <c r="S19" s="6" t="s">
        <v>254</v>
      </c>
      <c r="T19" s="6" t="s">
        <v>68</v>
      </c>
      <c r="U19" s="6" t="s">
        <v>255</v>
      </c>
      <c r="V19" s="6" t="s">
        <v>140</v>
      </c>
      <c r="W19" s="6" t="s">
        <v>70</v>
      </c>
      <c r="X19" s="7"/>
      <c r="Y19" s="6" t="s">
        <v>65</v>
      </c>
      <c r="Z19" s="6" t="s">
        <v>71</v>
      </c>
      <c r="AA19" s="6" t="s">
        <v>154</v>
      </c>
      <c r="AB19" s="8">
        <v>250000</v>
      </c>
      <c r="AC19" s="7">
        <v>44725</v>
      </c>
      <c r="AD19" s="7">
        <v>44074</v>
      </c>
      <c r="AE19" s="7">
        <v>45090</v>
      </c>
      <c r="AF19" s="7">
        <v>44439</v>
      </c>
      <c r="AG19" s="6" t="s">
        <v>72</v>
      </c>
      <c r="AH19" s="6" t="s">
        <v>73</v>
      </c>
      <c r="AI19" s="6" t="s">
        <v>256</v>
      </c>
      <c r="AJ19" s="7"/>
      <c r="AK19" s="6" t="s">
        <v>74</v>
      </c>
      <c r="AL19" s="6" t="s">
        <v>257</v>
      </c>
      <c r="AM19" s="6" t="s">
        <v>258</v>
      </c>
      <c r="AN19" s="9">
        <v>1803.45</v>
      </c>
      <c r="AO19" s="9">
        <v>0</v>
      </c>
      <c r="AP19" s="6" t="s">
        <v>73</v>
      </c>
      <c r="AQ19" s="8">
        <v>110000</v>
      </c>
      <c r="AR19" s="7">
        <v>45185</v>
      </c>
      <c r="AS19" s="6" t="s">
        <v>77</v>
      </c>
      <c r="AT19" s="6" t="s">
        <v>65</v>
      </c>
      <c r="AU19" s="6" t="s">
        <v>259</v>
      </c>
    </row>
    <row r="20" spans="1:47">
      <c r="A20" t="str">
        <f t="shared" si="0"/>
        <v>GRY-010</v>
      </c>
      <c r="B20" s="5" t="s">
        <v>52</v>
      </c>
      <c r="C20" s="6" t="s">
        <v>53</v>
      </c>
      <c r="D20" s="7">
        <v>46254</v>
      </c>
      <c r="E20" s="7">
        <v>2958465</v>
      </c>
      <c r="F20" s="6" t="s">
        <v>260</v>
      </c>
      <c r="G20" s="6" t="s">
        <v>93</v>
      </c>
      <c r="H20" s="6" t="s">
        <v>94</v>
      </c>
      <c r="I20" s="6" t="s">
        <v>95</v>
      </c>
      <c r="J20" s="6" t="s">
        <v>96</v>
      </c>
      <c r="K20" s="6" t="s">
        <v>146</v>
      </c>
      <c r="L20" s="6" t="s">
        <v>261</v>
      </c>
      <c r="M20" s="6" t="s">
        <v>250</v>
      </c>
      <c r="N20" s="6" t="s">
        <v>251</v>
      </c>
      <c r="O20" s="6" t="s">
        <v>262</v>
      </c>
      <c r="P20" s="6" t="s">
        <v>207</v>
      </c>
      <c r="Q20" s="6" t="s">
        <v>263</v>
      </c>
      <c r="R20" s="6" t="s">
        <v>66</v>
      </c>
      <c r="S20" s="6" t="s">
        <v>254</v>
      </c>
      <c r="T20" s="6" t="s">
        <v>68</v>
      </c>
      <c r="U20" s="6" t="s">
        <v>264</v>
      </c>
      <c r="V20" s="6" t="s">
        <v>140</v>
      </c>
      <c r="W20" s="6" t="s">
        <v>70</v>
      </c>
      <c r="X20" s="7"/>
      <c r="Y20" s="6" t="s">
        <v>65</v>
      </c>
      <c r="Z20" s="6" t="s">
        <v>71</v>
      </c>
      <c r="AA20" s="6" t="s">
        <v>154</v>
      </c>
      <c r="AB20" s="8">
        <v>250000</v>
      </c>
      <c r="AC20" s="7">
        <v>45313</v>
      </c>
      <c r="AD20" s="7">
        <v>44074</v>
      </c>
      <c r="AE20" s="7">
        <v>45679</v>
      </c>
      <c r="AF20" s="7">
        <v>44439</v>
      </c>
      <c r="AG20" s="6" t="s">
        <v>72</v>
      </c>
      <c r="AH20" s="6" t="s">
        <v>73</v>
      </c>
      <c r="AI20" s="6" t="s">
        <v>265</v>
      </c>
      <c r="AJ20" s="7"/>
      <c r="AK20" s="6" t="s">
        <v>74</v>
      </c>
      <c r="AL20" s="6" t="s">
        <v>266</v>
      </c>
      <c r="AM20" s="6" t="s">
        <v>258</v>
      </c>
      <c r="AN20" s="9">
        <v>9221</v>
      </c>
      <c r="AO20" s="9">
        <v>0</v>
      </c>
      <c r="AP20" s="6" t="s">
        <v>73</v>
      </c>
      <c r="AQ20" s="8">
        <v>120000</v>
      </c>
      <c r="AR20" s="7">
        <v>45185</v>
      </c>
      <c r="AS20" s="6" t="s">
        <v>77</v>
      </c>
      <c r="AT20" s="6" t="s">
        <v>65</v>
      </c>
      <c r="AU20" s="6" t="s">
        <v>267</v>
      </c>
    </row>
    <row r="21" spans="1:47">
      <c r="A21" t="str">
        <f t="shared" si="0"/>
        <v>KIR-906</v>
      </c>
      <c r="B21" s="5" t="s">
        <v>52</v>
      </c>
      <c r="C21" s="6" t="s">
        <v>55</v>
      </c>
      <c r="D21" s="7">
        <v>46216</v>
      </c>
      <c r="E21" s="7">
        <v>2958465</v>
      </c>
      <c r="F21" s="6" t="s">
        <v>268</v>
      </c>
      <c r="G21" s="6" t="s">
        <v>55</v>
      </c>
      <c r="H21" s="6" t="s">
        <v>56</v>
      </c>
      <c r="I21" s="6" t="s">
        <v>57</v>
      </c>
      <c r="J21" s="6" t="s">
        <v>58</v>
      </c>
      <c r="K21" s="6" t="s">
        <v>146</v>
      </c>
      <c r="L21" s="6" t="s">
        <v>269</v>
      </c>
      <c r="M21" s="6" t="s">
        <v>270</v>
      </c>
      <c r="N21" s="6" t="s">
        <v>271</v>
      </c>
      <c r="O21" s="6" t="s">
        <v>272</v>
      </c>
      <c r="P21" s="6" t="s">
        <v>207</v>
      </c>
      <c r="Q21" s="6" t="s">
        <v>197</v>
      </c>
      <c r="R21" s="6" t="s">
        <v>66</v>
      </c>
      <c r="S21" s="6" t="s">
        <v>224</v>
      </c>
      <c r="T21" s="6" t="s">
        <v>68</v>
      </c>
      <c r="U21" s="6" t="s">
        <v>65</v>
      </c>
      <c r="V21" s="6" t="s">
        <v>65</v>
      </c>
      <c r="W21" s="6" t="s">
        <v>70</v>
      </c>
      <c r="X21" s="7"/>
      <c r="Y21" s="6" t="s">
        <v>65</v>
      </c>
      <c r="Z21" s="6" t="s">
        <v>65</v>
      </c>
      <c r="AA21" s="6" t="s">
        <v>65</v>
      </c>
      <c r="AB21" s="8">
        <v>0</v>
      </c>
      <c r="AC21" s="7"/>
      <c r="AD21" s="7"/>
      <c r="AE21" s="7"/>
      <c r="AF21" s="7"/>
      <c r="AG21" s="6" t="s">
        <v>273</v>
      </c>
      <c r="AH21" s="6" t="s">
        <v>274</v>
      </c>
      <c r="AI21" s="6" t="s">
        <v>65</v>
      </c>
      <c r="AJ21" s="7"/>
      <c r="AK21" s="6" t="s">
        <v>65</v>
      </c>
      <c r="AL21" s="6" t="s">
        <v>65</v>
      </c>
      <c r="AM21" s="6" t="s">
        <v>65</v>
      </c>
      <c r="AN21" s="9">
        <v>0</v>
      </c>
      <c r="AO21" s="9">
        <v>0</v>
      </c>
      <c r="AP21" s="6" t="s">
        <v>274</v>
      </c>
      <c r="AQ21" s="8">
        <v>0</v>
      </c>
      <c r="AR21" s="7"/>
      <c r="AS21" s="6" t="s">
        <v>65</v>
      </c>
      <c r="AT21" s="6" t="s">
        <v>65</v>
      </c>
      <c r="AU21" s="6" t="s">
        <v>275</v>
      </c>
    </row>
    <row r="22" spans="1:47">
      <c r="A22" t="str">
        <f t="shared" si="0"/>
        <v>KIR-989</v>
      </c>
      <c r="B22" s="5" t="s">
        <v>52</v>
      </c>
      <c r="C22" s="6" t="s">
        <v>55</v>
      </c>
      <c r="D22" s="7">
        <v>46216</v>
      </c>
      <c r="E22" s="7">
        <v>2958465</v>
      </c>
      <c r="F22" s="6" t="s">
        <v>276</v>
      </c>
      <c r="G22" s="6" t="s">
        <v>55</v>
      </c>
      <c r="H22" s="6" t="s">
        <v>56</v>
      </c>
      <c r="I22" s="6" t="s">
        <v>57</v>
      </c>
      <c r="J22" s="6" t="s">
        <v>58</v>
      </c>
      <c r="K22" s="6" t="s">
        <v>146</v>
      </c>
      <c r="L22" s="6" t="s">
        <v>277</v>
      </c>
      <c r="M22" s="6" t="s">
        <v>278</v>
      </c>
      <c r="N22" s="6" t="s">
        <v>279</v>
      </c>
      <c r="O22" s="6" t="s">
        <v>65</v>
      </c>
      <c r="P22" s="6" t="s">
        <v>223</v>
      </c>
      <c r="Q22" s="6" t="s">
        <v>172</v>
      </c>
      <c r="R22" s="6" t="s">
        <v>66</v>
      </c>
      <c r="S22" s="6" t="s">
        <v>224</v>
      </c>
      <c r="T22" s="6" t="s">
        <v>68</v>
      </c>
      <c r="U22" s="6" t="s">
        <v>65</v>
      </c>
      <c r="V22" s="6" t="s">
        <v>65</v>
      </c>
      <c r="W22" s="6" t="s">
        <v>70</v>
      </c>
      <c r="X22" s="7"/>
      <c r="Y22" s="6" t="s">
        <v>65</v>
      </c>
      <c r="Z22" s="6" t="s">
        <v>65</v>
      </c>
      <c r="AA22" s="6" t="s">
        <v>65</v>
      </c>
      <c r="AB22" s="8">
        <v>0</v>
      </c>
      <c r="AC22" s="7"/>
      <c r="AD22" s="7"/>
      <c r="AE22" s="7"/>
      <c r="AF22" s="7"/>
      <c r="AG22" s="6" t="s">
        <v>273</v>
      </c>
      <c r="AH22" s="6" t="s">
        <v>280</v>
      </c>
      <c r="AI22" s="6" t="s">
        <v>65</v>
      </c>
      <c r="AJ22" s="7"/>
      <c r="AK22" s="6" t="s">
        <v>65</v>
      </c>
      <c r="AL22" s="6" t="s">
        <v>65</v>
      </c>
      <c r="AM22" s="6" t="s">
        <v>65</v>
      </c>
      <c r="AN22" s="9">
        <v>0</v>
      </c>
      <c r="AO22" s="9">
        <v>0</v>
      </c>
      <c r="AP22" s="6" t="s">
        <v>280</v>
      </c>
      <c r="AQ22" s="8">
        <v>0</v>
      </c>
      <c r="AR22" s="7"/>
      <c r="AS22" s="6" t="s">
        <v>65</v>
      </c>
      <c r="AT22" s="6" t="s">
        <v>65</v>
      </c>
      <c r="AU22" s="6" t="s">
        <v>281</v>
      </c>
    </row>
    <row r="23" spans="1:47">
      <c r="A23" t="str">
        <f t="shared" si="0"/>
        <v>LEKS-004</v>
      </c>
      <c r="B23" s="5" t="s">
        <v>52</v>
      </c>
      <c r="C23" s="6" t="s">
        <v>53</v>
      </c>
      <c r="D23" s="7">
        <v>46247</v>
      </c>
      <c r="E23" s="7">
        <v>2958465</v>
      </c>
      <c r="F23" s="6" t="s">
        <v>282</v>
      </c>
      <c r="G23" s="6" t="s">
        <v>93</v>
      </c>
      <c r="H23" s="6" t="s">
        <v>94</v>
      </c>
      <c r="I23" s="6" t="s">
        <v>95</v>
      </c>
      <c r="J23" s="6" t="s">
        <v>96</v>
      </c>
      <c r="K23" s="6" t="s">
        <v>146</v>
      </c>
      <c r="L23" s="6" t="s">
        <v>283</v>
      </c>
      <c r="M23" s="6" t="s">
        <v>284</v>
      </c>
      <c r="N23" s="6" t="s">
        <v>285</v>
      </c>
      <c r="O23" s="6" t="s">
        <v>286</v>
      </c>
      <c r="P23" s="6" t="s">
        <v>287</v>
      </c>
      <c r="Q23" s="6" t="s">
        <v>243</v>
      </c>
      <c r="R23" s="6" t="s">
        <v>66</v>
      </c>
      <c r="S23" s="6" t="s">
        <v>288</v>
      </c>
      <c r="T23" s="6" t="s">
        <v>68</v>
      </c>
      <c r="U23" s="6" t="s">
        <v>289</v>
      </c>
      <c r="V23" s="6" t="s">
        <v>65</v>
      </c>
      <c r="W23" s="6" t="s">
        <v>70</v>
      </c>
      <c r="X23" s="7"/>
      <c r="Y23" s="6" t="s">
        <v>65</v>
      </c>
      <c r="Z23" s="6" t="s">
        <v>71</v>
      </c>
      <c r="AA23" s="6" t="s">
        <v>65</v>
      </c>
      <c r="AB23" s="8">
        <v>200000</v>
      </c>
      <c r="AC23" s="7">
        <v>45980</v>
      </c>
      <c r="AD23" s="7"/>
      <c r="AE23" s="7">
        <v>46345</v>
      </c>
      <c r="AF23" s="7"/>
      <c r="AG23" s="6" t="s">
        <v>72</v>
      </c>
      <c r="AH23" s="6" t="s">
        <v>73</v>
      </c>
      <c r="AI23" s="6" t="s">
        <v>290</v>
      </c>
      <c r="AJ23" s="7"/>
      <c r="AK23" s="6" t="s">
        <v>74</v>
      </c>
      <c r="AL23" s="6" t="s">
        <v>291</v>
      </c>
      <c r="AM23" s="6" t="s">
        <v>65</v>
      </c>
      <c r="AN23" s="9">
        <v>9562.5</v>
      </c>
      <c r="AO23" s="9">
        <v>0</v>
      </c>
      <c r="AP23" s="6" t="s">
        <v>73</v>
      </c>
      <c r="AQ23" s="8">
        <v>180000</v>
      </c>
      <c r="AR23" s="7">
        <v>45280</v>
      </c>
      <c r="AS23" s="6" t="s">
        <v>77</v>
      </c>
      <c r="AT23" s="6" t="s">
        <v>65</v>
      </c>
      <c r="AU23" s="6" t="s">
        <v>292</v>
      </c>
    </row>
    <row r="24" spans="1:47">
      <c r="A24" t="str">
        <f t="shared" si="0"/>
        <v>LSY-001</v>
      </c>
      <c r="B24" s="5" t="s">
        <v>52</v>
      </c>
      <c r="C24" s="6" t="s">
        <v>53</v>
      </c>
      <c r="D24" s="7">
        <v>46244</v>
      </c>
      <c r="E24" s="7">
        <v>2958465</v>
      </c>
      <c r="F24" s="6" t="s">
        <v>293</v>
      </c>
      <c r="G24" s="6" t="s">
        <v>93</v>
      </c>
      <c r="H24" s="6" t="s">
        <v>94</v>
      </c>
      <c r="I24" s="6" t="s">
        <v>95</v>
      </c>
      <c r="J24" s="6" t="s">
        <v>96</v>
      </c>
      <c r="K24" s="6" t="s">
        <v>146</v>
      </c>
      <c r="L24" s="6" t="s">
        <v>294</v>
      </c>
      <c r="M24" s="6" t="s">
        <v>295</v>
      </c>
      <c r="N24" s="6" t="s">
        <v>296</v>
      </c>
      <c r="O24" s="6" t="s">
        <v>297</v>
      </c>
      <c r="P24" s="6" t="s">
        <v>207</v>
      </c>
      <c r="Q24" s="6" t="s">
        <v>298</v>
      </c>
      <c r="R24" s="6" t="s">
        <v>66</v>
      </c>
      <c r="S24" s="6" t="s">
        <v>299</v>
      </c>
      <c r="T24" s="6" t="s">
        <v>68</v>
      </c>
      <c r="U24" s="6" t="s">
        <v>300</v>
      </c>
      <c r="V24" s="6" t="s">
        <v>140</v>
      </c>
      <c r="W24" s="6" t="s">
        <v>70</v>
      </c>
      <c r="X24" s="7">
        <v>44408</v>
      </c>
      <c r="Y24" s="6" t="s">
        <v>65</v>
      </c>
      <c r="Z24" s="6" t="s">
        <v>71</v>
      </c>
      <c r="AA24" s="6" t="s">
        <v>154</v>
      </c>
      <c r="AB24" s="8">
        <v>320000</v>
      </c>
      <c r="AC24" s="7">
        <v>45757</v>
      </c>
      <c r="AD24" s="7">
        <v>44074</v>
      </c>
      <c r="AE24" s="7">
        <v>46122</v>
      </c>
      <c r="AF24" s="7">
        <v>44439</v>
      </c>
      <c r="AG24" s="6" t="s">
        <v>72</v>
      </c>
      <c r="AH24" s="6" t="s">
        <v>73</v>
      </c>
      <c r="AI24" s="6" t="s">
        <v>301</v>
      </c>
      <c r="AJ24" s="7"/>
      <c r="AK24" s="6" t="s">
        <v>74</v>
      </c>
      <c r="AL24" s="6" t="s">
        <v>1027</v>
      </c>
      <c r="AM24" s="6" t="s">
        <v>157</v>
      </c>
      <c r="AN24" s="9">
        <v>5766</v>
      </c>
      <c r="AO24" s="9">
        <v>0</v>
      </c>
      <c r="AP24" s="6" t="s">
        <v>302</v>
      </c>
      <c r="AQ24" s="8">
        <v>140000</v>
      </c>
      <c r="AR24" s="7">
        <v>45183</v>
      </c>
      <c r="AS24" s="6" t="s">
        <v>77</v>
      </c>
      <c r="AT24" s="6" t="s">
        <v>65</v>
      </c>
      <c r="AU24" s="6" t="s">
        <v>303</v>
      </c>
    </row>
    <row r="25" spans="1:47">
      <c r="A25" t="str">
        <f t="shared" si="0"/>
        <v>LSY-003</v>
      </c>
      <c r="B25" s="5" t="s">
        <v>253</v>
      </c>
      <c r="C25" s="6" t="s">
        <v>989</v>
      </c>
      <c r="D25" s="7">
        <v>46269</v>
      </c>
      <c r="E25" s="7">
        <v>2958465</v>
      </c>
      <c r="F25" s="6" t="s">
        <v>990</v>
      </c>
      <c r="G25" s="6" t="s">
        <v>55</v>
      </c>
      <c r="H25" s="6" t="s">
        <v>56</v>
      </c>
      <c r="I25" s="6" t="s">
        <v>57</v>
      </c>
      <c r="J25" s="6" t="s">
        <v>58</v>
      </c>
      <c r="K25" s="6" t="s">
        <v>146</v>
      </c>
      <c r="L25" s="6" t="s">
        <v>991</v>
      </c>
      <c r="M25" s="6" t="s">
        <v>992</v>
      </c>
      <c r="N25" s="6" t="s">
        <v>993</v>
      </c>
      <c r="O25" s="6" t="s">
        <v>994</v>
      </c>
      <c r="P25" s="6" t="s">
        <v>196</v>
      </c>
      <c r="Q25" s="6" t="s">
        <v>352</v>
      </c>
      <c r="R25" s="6" t="s">
        <v>66</v>
      </c>
      <c r="S25" s="6" t="s">
        <v>299</v>
      </c>
      <c r="T25" s="6" t="s">
        <v>68</v>
      </c>
      <c r="U25" s="6" t="s">
        <v>995</v>
      </c>
      <c r="V25" s="6" t="s">
        <v>140</v>
      </c>
      <c r="W25" s="6" t="s">
        <v>70</v>
      </c>
      <c r="X25" s="7"/>
      <c r="Y25" s="6" t="s">
        <v>65</v>
      </c>
      <c r="Z25" s="6" t="s">
        <v>71</v>
      </c>
      <c r="AA25" s="6" t="s">
        <v>154</v>
      </c>
      <c r="AB25" s="8">
        <v>320000</v>
      </c>
      <c r="AC25" s="7">
        <v>45061</v>
      </c>
      <c r="AD25" s="7">
        <v>44074</v>
      </c>
      <c r="AE25" s="7">
        <v>45427</v>
      </c>
      <c r="AF25" s="7">
        <v>44439</v>
      </c>
      <c r="AG25" s="6" t="s">
        <v>72</v>
      </c>
      <c r="AH25" s="6" t="s">
        <v>234</v>
      </c>
      <c r="AI25" s="6" t="s">
        <v>996</v>
      </c>
      <c r="AJ25" s="7"/>
      <c r="AK25" s="6" t="s">
        <v>74</v>
      </c>
      <c r="AL25" s="6" t="s">
        <v>997</v>
      </c>
      <c r="AM25" s="6" t="s">
        <v>226</v>
      </c>
      <c r="AN25" s="9">
        <v>5517.45</v>
      </c>
      <c r="AO25" s="9">
        <v>0</v>
      </c>
      <c r="AP25" s="6" t="s">
        <v>302</v>
      </c>
      <c r="AQ25" s="8">
        <v>160000</v>
      </c>
      <c r="AR25" s="7">
        <v>45183</v>
      </c>
      <c r="AS25" s="6" t="s">
        <v>77</v>
      </c>
      <c r="AT25" s="6" t="s">
        <v>65</v>
      </c>
      <c r="AU25" s="6" t="s">
        <v>998</v>
      </c>
    </row>
    <row r="26" spans="1:47">
      <c r="A26" t="str">
        <f t="shared" si="0"/>
        <v>LSY-008</v>
      </c>
      <c r="B26" s="5" t="s">
        <v>52</v>
      </c>
      <c r="C26" s="6" t="s">
        <v>53</v>
      </c>
      <c r="D26" s="7">
        <v>46107</v>
      </c>
      <c r="E26" s="7">
        <v>2958465</v>
      </c>
      <c r="F26" s="6" t="s">
        <v>304</v>
      </c>
      <c r="G26" s="6" t="s">
        <v>55</v>
      </c>
      <c r="H26" s="6" t="s">
        <v>56</v>
      </c>
      <c r="I26" s="6" t="s">
        <v>57</v>
      </c>
      <c r="J26" s="6" t="s">
        <v>58</v>
      </c>
      <c r="K26" s="6" t="s">
        <v>146</v>
      </c>
      <c r="L26" s="6" t="s">
        <v>305</v>
      </c>
      <c r="M26" s="6" t="s">
        <v>306</v>
      </c>
      <c r="N26" s="6" t="s">
        <v>307</v>
      </c>
      <c r="O26" s="6" t="s">
        <v>308</v>
      </c>
      <c r="P26" s="6" t="s">
        <v>309</v>
      </c>
      <c r="Q26" s="6" t="s">
        <v>298</v>
      </c>
      <c r="R26" s="6" t="s">
        <v>66</v>
      </c>
      <c r="S26" s="6" t="s">
        <v>299</v>
      </c>
      <c r="T26" s="6" t="s">
        <v>68</v>
      </c>
      <c r="U26" s="6" t="s">
        <v>310</v>
      </c>
      <c r="V26" s="6" t="s">
        <v>140</v>
      </c>
      <c r="W26" s="6" t="s">
        <v>70</v>
      </c>
      <c r="X26" s="7"/>
      <c r="Y26" s="6" t="s">
        <v>65</v>
      </c>
      <c r="Z26" s="6" t="s">
        <v>71</v>
      </c>
      <c r="AA26" s="6" t="s">
        <v>154</v>
      </c>
      <c r="AB26" s="8">
        <v>320000</v>
      </c>
      <c r="AC26" s="7">
        <v>46169</v>
      </c>
      <c r="AD26" s="7">
        <v>44074</v>
      </c>
      <c r="AE26" s="7">
        <v>46534</v>
      </c>
      <c r="AF26" s="7">
        <v>44439</v>
      </c>
      <c r="AG26" s="6" t="s">
        <v>72</v>
      </c>
      <c r="AH26" s="6" t="s">
        <v>73</v>
      </c>
      <c r="AI26" s="6" t="s">
        <v>311</v>
      </c>
      <c r="AJ26" s="7"/>
      <c r="AK26" s="6" t="s">
        <v>74</v>
      </c>
      <c r="AL26" s="6" t="s">
        <v>312</v>
      </c>
      <c r="AM26" s="6" t="s">
        <v>157</v>
      </c>
      <c r="AN26" s="9">
        <v>9984</v>
      </c>
      <c r="AO26" s="9">
        <v>0</v>
      </c>
      <c r="AP26" s="6" t="s">
        <v>178</v>
      </c>
      <c r="AQ26" s="8">
        <v>185000</v>
      </c>
      <c r="AR26" s="7">
        <v>45183</v>
      </c>
      <c r="AS26" s="6" t="s">
        <v>77</v>
      </c>
      <c r="AT26" s="6" t="s">
        <v>65</v>
      </c>
      <c r="AU26" s="6" t="s">
        <v>313</v>
      </c>
    </row>
    <row r="27" spans="1:47">
      <c r="A27" t="str">
        <f t="shared" si="0"/>
        <v>MNY-005</v>
      </c>
      <c r="B27" s="5" t="s">
        <v>52</v>
      </c>
      <c r="C27" s="6" t="s">
        <v>53</v>
      </c>
      <c r="D27" s="7">
        <v>46205</v>
      </c>
      <c r="E27" s="7">
        <v>2958465</v>
      </c>
      <c r="F27" s="6" t="s">
        <v>314</v>
      </c>
      <c r="G27" s="6" t="s">
        <v>55</v>
      </c>
      <c r="H27" s="6" t="s">
        <v>56</v>
      </c>
      <c r="I27" s="6" t="s">
        <v>57</v>
      </c>
      <c r="J27" s="6" t="s">
        <v>58</v>
      </c>
      <c r="K27" s="6" t="s">
        <v>146</v>
      </c>
      <c r="L27" s="6" t="s">
        <v>315</v>
      </c>
      <c r="M27" s="6" t="s">
        <v>316</v>
      </c>
      <c r="N27" s="6" t="s">
        <v>317</v>
      </c>
      <c r="O27" s="6" t="s">
        <v>318</v>
      </c>
      <c r="P27" s="6" t="s">
        <v>319</v>
      </c>
      <c r="Q27" s="6" t="s">
        <v>197</v>
      </c>
      <c r="R27" s="6" t="s">
        <v>66</v>
      </c>
      <c r="S27" s="6" t="s">
        <v>320</v>
      </c>
      <c r="T27" s="6" t="s">
        <v>68</v>
      </c>
      <c r="U27" s="6" t="s">
        <v>321</v>
      </c>
      <c r="V27" s="6" t="s">
        <v>140</v>
      </c>
      <c r="W27" s="6" t="s">
        <v>70</v>
      </c>
      <c r="X27" s="7"/>
      <c r="Y27" s="6" t="s">
        <v>65</v>
      </c>
      <c r="Z27" s="6" t="s">
        <v>71</v>
      </c>
      <c r="AA27" s="6" t="s">
        <v>154</v>
      </c>
      <c r="AB27" s="8">
        <v>70000</v>
      </c>
      <c r="AC27" s="7">
        <v>44830</v>
      </c>
      <c r="AD27" s="7">
        <v>44074</v>
      </c>
      <c r="AE27" s="7">
        <v>45195</v>
      </c>
      <c r="AF27" s="7">
        <v>44439</v>
      </c>
      <c r="AG27" s="6" t="s">
        <v>72</v>
      </c>
      <c r="AH27" s="6" t="s">
        <v>73</v>
      </c>
      <c r="AI27" s="6" t="s">
        <v>322</v>
      </c>
      <c r="AJ27" s="7"/>
      <c r="AK27" s="6" t="s">
        <v>74</v>
      </c>
      <c r="AL27" s="6" t="s">
        <v>323</v>
      </c>
      <c r="AM27" s="6" t="s">
        <v>324</v>
      </c>
      <c r="AN27" s="9">
        <v>3384.45</v>
      </c>
      <c r="AO27" s="9">
        <v>0</v>
      </c>
      <c r="AP27" s="6" t="s">
        <v>73</v>
      </c>
      <c r="AQ27" s="8">
        <v>350000</v>
      </c>
      <c r="AR27" s="7">
        <v>45189</v>
      </c>
      <c r="AS27" s="6" t="s">
        <v>77</v>
      </c>
      <c r="AT27" s="6" t="s">
        <v>65</v>
      </c>
      <c r="AU27" s="6" t="s">
        <v>325</v>
      </c>
    </row>
    <row r="28" spans="1:47">
      <c r="A28" t="str">
        <f t="shared" si="0"/>
        <v>TSL-003</v>
      </c>
      <c r="B28" s="5" t="s">
        <v>52</v>
      </c>
      <c r="C28" s="6" t="s">
        <v>53</v>
      </c>
      <c r="D28" s="7">
        <v>46252</v>
      </c>
      <c r="E28" s="7">
        <v>2958465</v>
      </c>
      <c r="F28" s="6" t="s">
        <v>326</v>
      </c>
      <c r="G28" s="6" t="s">
        <v>55</v>
      </c>
      <c r="H28" s="6" t="s">
        <v>56</v>
      </c>
      <c r="I28" s="6" t="s">
        <v>57</v>
      </c>
      <c r="J28" s="6" t="s">
        <v>58</v>
      </c>
      <c r="K28" s="6" t="s">
        <v>146</v>
      </c>
      <c r="L28" s="6" t="s">
        <v>327</v>
      </c>
      <c r="M28" s="6" t="s">
        <v>328</v>
      </c>
      <c r="N28" s="6" t="s">
        <v>329</v>
      </c>
      <c r="O28" s="6" t="s">
        <v>330</v>
      </c>
      <c r="P28" s="6" t="s">
        <v>331</v>
      </c>
      <c r="Q28" s="6" t="s">
        <v>152</v>
      </c>
      <c r="R28" s="6" t="s">
        <v>66</v>
      </c>
      <c r="S28" s="6" t="s">
        <v>332</v>
      </c>
      <c r="T28" s="6" t="s">
        <v>68</v>
      </c>
      <c r="U28" s="6" t="s">
        <v>1028</v>
      </c>
      <c r="V28" s="6" t="s">
        <v>140</v>
      </c>
      <c r="W28" s="6" t="s">
        <v>70</v>
      </c>
      <c r="X28" s="7"/>
      <c r="Y28" s="6" t="s">
        <v>65</v>
      </c>
      <c r="Z28" s="6" t="s">
        <v>71</v>
      </c>
      <c r="AA28" s="6" t="s">
        <v>154</v>
      </c>
      <c r="AB28" s="8">
        <v>110000</v>
      </c>
      <c r="AC28" s="7">
        <v>45430</v>
      </c>
      <c r="AD28" s="7">
        <v>44074</v>
      </c>
      <c r="AE28" s="7">
        <v>45795</v>
      </c>
      <c r="AF28" s="7">
        <v>44439</v>
      </c>
      <c r="AG28" s="6" t="s">
        <v>72</v>
      </c>
      <c r="AH28" s="6" t="s">
        <v>73</v>
      </c>
      <c r="AI28" s="6" t="s">
        <v>333</v>
      </c>
      <c r="AJ28" s="7"/>
      <c r="AK28" s="6" t="s">
        <v>74</v>
      </c>
      <c r="AL28" s="6" t="s">
        <v>334</v>
      </c>
      <c r="AM28" s="6" t="s">
        <v>226</v>
      </c>
      <c r="AN28" s="9">
        <v>4330</v>
      </c>
      <c r="AO28" s="9">
        <v>0</v>
      </c>
      <c r="AP28" s="6" t="s">
        <v>73</v>
      </c>
      <c r="AQ28" s="8">
        <v>80000</v>
      </c>
      <c r="AR28" s="7">
        <v>45189</v>
      </c>
      <c r="AS28" s="6" t="s">
        <v>77</v>
      </c>
      <c r="AT28" s="6" t="s">
        <v>65</v>
      </c>
      <c r="AU28" s="6" t="s">
        <v>335</v>
      </c>
    </row>
    <row r="29" spans="1:47">
      <c r="A29" t="str">
        <f t="shared" si="0"/>
        <v>TSL-008</v>
      </c>
      <c r="B29" s="5" t="s">
        <v>52</v>
      </c>
      <c r="C29" s="6" t="s">
        <v>53</v>
      </c>
      <c r="D29" s="7">
        <v>46244</v>
      </c>
      <c r="E29" s="7">
        <v>2958465</v>
      </c>
      <c r="F29" s="6" t="s">
        <v>336</v>
      </c>
      <c r="G29" s="6" t="s">
        <v>93</v>
      </c>
      <c r="H29" s="6" t="s">
        <v>94</v>
      </c>
      <c r="I29" s="6" t="s">
        <v>95</v>
      </c>
      <c r="J29" s="6" t="s">
        <v>96</v>
      </c>
      <c r="K29" s="6" t="s">
        <v>146</v>
      </c>
      <c r="L29" s="6" t="s">
        <v>337</v>
      </c>
      <c r="M29" s="6" t="s">
        <v>338</v>
      </c>
      <c r="N29" s="6" t="s">
        <v>339</v>
      </c>
      <c r="O29" s="6" t="s">
        <v>340</v>
      </c>
      <c r="P29" s="6" t="s">
        <v>331</v>
      </c>
      <c r="Q29" s="6" t="s">
        <v>152</v>
      </c>
      <c r="R29" s="6" t="s">
        <v>66</v>
      </c>
      <c r="S29" s="6" t="s">
        <v>332</v>
      </c>
      <c r="T29" s="6" t="s">
        <v>68</v>
      </c>
      <c r="U29" s="6" t="s">
        <v>341</v>
      </c>
      <c r="V29" s="6" t="s">
        <v>140</v>
      </c>
      <c r="W29" s="6" t="s">
        <v>70</v>
      </c>
      <c r="X29" s="7"/>
      <c r="Y29" s="6" t="s">
        <v>65</v>
      </c>
      <c r="Z29" s="6" t="s">
        <v>71</v>
      </c>
      <c r="AA29" s="6" t="s">
        <v>154</v>
      </c>
      <c r="AB29" s="8">
        <v>110000</v>
      </c>
      <c r="AC29" s="7">
        <v>45990</v>
      </c>
      <c r="AD29" s="7">
        <v>44074</v>
      </c>
      <c r="AE29" s="7">
        <v>46355</v>
      </c>
      <c r="AF29" s="7">
        <v>44439</v>
      </c>
      <c r="AG29" s="6" t="s">
        <v>72</v>
      </c>
      <c r="AH29" s="6" t="s">
        <v>73</v>
      </c>
      <c r="AI29" s="6" t="s">
        <v>342</v>
      </c>
      <c r="AJ29" s="7"/>
      <c r="AK29" s="6" t="s">
        <v>74</v>
      </c>
      <c r="AL29" s="6" t="s">
        <v>343</v>
      </c>
      <c r="AM29" s="6" t="s">
        <v>157</v>
      </c>
      <c r="AN29" s="9">
        <v>10198.98</v>
      </c>
      <c r="AO29" s="9">
        <v>0</v>
      </c>
      <c r="AP29" s="6" t="s">
        <v>73</v>
      </c>
      <c r="AQ29" s="8">
        <v>90000</v>
      </c>
      <c r="AR29" s="7">
        <v>45189</v>
      </c>
      <c r="AS29" s="6" t="s">
        <v>77</v>
      </c>
      <c r="AT29" s="6" t="s">
        <v>65</v>
      </c>
      <c r="AU29" s="6" t="s">
        <v>344</v>
      </c>
    </row>
    <row r="30" spans="1:47">
      <c r="A30" t="str">
        <f t="shared" si="0"/>
        <v>TSL-020</v>
      </c>
      <c r="B30" s="5" t="s">
        <v>52</v>
      </c>
      <c r="C30" s="6" t="s">
        <v>53</v>
      </c>
      <c r="D30" s="7">
        <v>46266</v>
      </c>
      <c r="E30" s="7">
        <v>2958465</v>
      </c>
      <c r="F30" s="6" t="s">
        <v>999</v>
      </c>
      <c r="G30" s="6" t="s">
        <v>93</v>
      </c>
      <c r="H30" s="6" t="s">
        <v>94</v>
      </c>
      <c r="I30" s="6" t="s">
        <v>95</v>
      </c>
      <c r="J30" s="6" t="s">
        <v>96</v>
      </c>
      <c r="K30" s="6" t="s">
        <v>146</v>
      </c>
      <c r="L30" s="6" t="s">
        <v>1000</v>
      </c>
      <c r="M30" s="6" t="s">
        <v>1001</v>
      </c>
      <c r="N30" s="6" t="s">
        <v>1002</v>
      </c>
      <c r="O30" s="6" t="s">
        <v>1003</v>
      </c>
      <c r="P30" s="6" t="s">
        <v>331</v>
      </c>
      <c r="Q30" s="6" t="s">
        <v>172</v>
      </c>
      <c r="R30" s="6" t="s">
        <v>66</v>
      </c>
      <c r="S30" s="6" t="s">
        <v>332</v>
      </c>
      <c r="T30" s="6" t="s">
        <v>68</v>
      </c>
      <c r="U30" s="6" t="s">
        <v>1004</v>
      </c>
      <c r="V30" s="6" t="s">
        <v>140</v>
      </c>
      <c r="W30" s="6" t="s">
        <v>70</v>
      </c>
      <c r="X30" s="7">
        <v>45777</v>
      </c>
      <c r="Y30" s="6" t="s">
        <v>65</v>
      </c>
      <c r="Z30" s="6" t="s">
        <v>164</v>
      </c>
      <c r="AA30" s="6" t="s">
        <v>154</v>
      </c>
      <c r="AB30" s="8">
        <v>110000</v>
      </c>
      <c r="AC30" s="7">
        <v>45960</v>
      </c>
      <c r="AD30" s="7">
        <v>44074</v>
      </c>
      <c r="AE30" s="7">
        <v>46325</v>
      </c>
      <c r="AF30" s="7">
        <v>44439</v>
      </c>
      <c r="AG30" s="6" t="s">
        <v>72</v>
      </c>
      <c r="AH30" s="6" t="s">
        <v>73</v>
      </c>
      <c r="AI30" s="6" t="s">
        <v>1005</v>
      </c>
      <c r="AJ30" s="7"/>
      <c r="AK30" s="6" t="s">
        <v>74</v>
      </c>
      <c r="AL30" s="6" t="s">
        <v>1006</v>
      </c>
      <c r="AM30" s="6" t="s">
        <v>157</v>
      </c>
      <c r="AN30" s="9">
        <v>6312</v>
      </c>
      <c r="AO30" s="9">
        <v>0</v>
      </c>
      <c r="AP30" s="6" t="s">
        <v>73</v>
      </c>
      <c r="AQ30" s="8">
        <v>95000</v>
      </c>
      <c r="AR30" s="7">
        <v>45189</v>
      </c>
      <c r="AS30" s="6" t="s">
        <v>77</v>
      </c>
      <c r="AT30" s="6" t="s">
        <v>65</v>
      </c>
      <c r="AU30" s="6" t="s">
        <v>1007</v>
      </c>
    </row>
    <row r="31" spans="1:47">
      <c r="A31" t="str">
        <f t="shared" si="0"/>
        <v>LTW-010</v>
      </c>
      <c r="B31" s="5" t="s">
        <v>52</v>
      </c>
      <c r="C31" s="6" t="s">
        <v>53</v>
      </c>
      <c r="D31" s="7">
        <v>46126</v>
      </c>
      <c r="E31" s="7">
        <v>2958465</v>
      </c>
      <c r="F31" s="6" t="s">
        <v>345</v>
      </c>
      <c r="G31" s="6" t="s">
        <v>55</v>
      </c>
      <c r="H31" s="6" t="s">
        <v>56</v>
      </c>
      <c r="I31" s="6" t="s">
        <v>57</v>
      </c>
      <c r="J31" s="6" t="s">
        <v>58</v>
      </c>
      <c r="K31" s="6" t="s">
        <v>346</v>
      </c>
      <c r="L31" s="6" t="s">
        <v>347</v>
      </c>
      <c r="M31" s="6" t="s">
        <v>348</v>
      </c>
      <c r="N31" s="6" t="s">
        <v>349</v>
      </c>
      <c r="O31" s="6" t="s">
        <v>350</v>
      </c>
      <c r="P31" s="6" t="s">
        <v>351</v>
      </c>
      <c r="Q31" s="6" t="s">
        <v>352</v>
      </c>
      <c r="R31" s="6" t="s">
        <v>66</v>
      </c>
      <c r="S31" s="6" t="s">
        <v>353</v>
      </c>
      <c r="T31" s="6" t="s">
        <v>68</v>
      </c>
      <c r="U31" s="6" t="s">
        <v>65</v>
      </c>
      <c r="V31" s="6" t="s">
        <v>140</v>
      </c>
      <c r="W31" s="6" t="s">
        <v>70</v>
      </c>
      <c r="X31" s="7"/>
      <c r="Y31" s="6" t="s">
        <v>65</v>
      </c>
      <c r="Z31" s="6" t="s">
        <v>65</v>
      </c>
      <c r="AA31" s="6" t="s">
        <v>65</v>
      </c>
      <c r="AB31" s="8">
        <v>25000</v>
      </c>
      <c r="AC31" s="7"/>
      <c r="AD31" s="7"/>
      <c r="AE31" s="7"/>
      <c r="AF31" s="7"/>
      <c r="AG31" s="6" t="s">
        <v>72</v>
      </c>
      <c r="AH31" s="6" t="s">
        <v>73</v>
      </c>
      <c r="AI31" s="6" t="s">
        <v>65</v>
      </c>
      <c r="AJ31" s="7"/>
      <c r="AK31" s="6" t="s">
        <v>74</v>
      </c>
      <c r="AL31" s="6" t="s">
        <v>65</v>
      </c>
      <c r="AM31" s="6" t="s">
        <v>65</v>
      </c>
      <c r="AN31" s="9">
        <v>0</v>
      </c>
      <c r="AO31" s="9">
        <v>0</v>
      </c>
      <c r="AP31" s="6" t="s">
        <v>73</v>
      </c>
      <c r="AQ31" s="8">
        <v>0</v>
      </c>
      <c r="AR31" s="7"/>
      <c r="AS31" s="6" t="s">
        <v>65</v>
      </c>
      <c r="AT31" s="6" t="s">
        <v>65</v>
      </c>
      <c r="AU31" s="6" t="s">
        <v>350</v>
      </c>
    </row>
    <row r="32" spans="1:47">
      <c r="A32" t="str">
        <f t="shared" si="0"/>
        <v>LTW-013</v>
      </c>
      <c r="B32" s="5" t="s">
        <v>52</v>
      </c>
      <c r="C32" s="6" t="s">
        <v>53</v>
      </c>
      <c r="D32" s="7">
        <v>46128</v>
      </c>
      <c r="E32" s="7">
        <v>2958465</v>
      </c>
      <c r="F32" s="6" t="s">
        <v>354</v>
      </c>
      <c r="G32" s="6" t="s">
        <v>55</v>
      </c>
      <c r="H32" s="6" t="s">
        <v>56</v>
      </c>
      <c r="I32" s="6" t="s">
        <v>57</v>
      </c>
      <c r="J32" s="6" t="s">
        <v>58</v>
      </c>
      <c r="K32" s="6" t="s">
        <v>346</v>
      </c>
      <c r="L32" s="6" t="s">
        <v>355</v>
      </c>
      <c r="M32" s="6" t="s">
        <v>356</v>
      </c>
      <c r="N32" s="6" t="s">
        <v>357</v>
      </c>
      <c r="O32" s="6" t="s">
        <v>358</v>
      </c>
      <c r="P32" s="6" t="s">
        <v>359</v>
      </c>
      <c r="Q32" s="6" t="s">
        <v>214</v>
      </c>
      <c r="R32" s="6" t="s">
        <v>66</v>
      </c>
      <c r="S32" s="6" t="s">
        <v>353</v>
      </c>
      <c r="T32" s="6" t="s">
        <v>68</v>
      </c>
      <c r="U32" s="6" t="s">
        <v>65</v>
      </c>
      <c r="V32" s="6" t="s">
        <v>140</v>
      </c>
      <c r="W32" s="6" t="s">
        <v>70</v>
      </c>
      <c r="X32" s="7"/>
      <c r="Y32" s="6" t="s">
        <v>65</v>
      </c>
      <c r="Z32" s="6" t="s">
        <v>65</v>
      </c>
      <c r="AA32" s="6" t="s">
        <v>65</v>
      </c>
      <c r="AB32" s="8">
        <v>25000</v>
      </c>
      <c r="AC32" s="7"/>
      <c r="AD32" s="7"/>
      <c r="AE32" s="7"/>
      <c r="AF32" s="7"/>
      <c r="AG32" s="6" t="s">
        <v>72</v>
      </c>
      <c r="AH32" s="6" t="s">
        <v>73</v>
      </c>
      <c r="AI32" s="6" t="s">
        <v>360</v>
      </c>
      <c r="AJ32" s="7"/>
      <c r="AK32" s="6" t="s">
        <v>74</v>
      </c>
      <c r="AL32" s="6" t="s">
        <v>65</v>
      </c>
      <c r="AM32" s="6" t="s">
        <v>65</v>
      </c>
      <c r="AN32" s="9">
        <v>0</v>
      </c>
      <c r="AO32" s="9">
        <v>0</v>
      </c>
      <c r="AP32" s="6" t="s">
        <v>73</v>
      </c>
      <c r="AQ32" s="8">
        <v>0</v>
      </c>
      <c r="AR32" s="7"/>
      <c r="AS32" s="6" t="s">
        <v>65</v>
      </c>
      <c r="AT32" s="6" t="s">
        <v>65</v>
      </c>
      <c r="AU32" s="6" t="s">
        <v>358</v>
      </c>
    </row>
    <row r="33" spans="1:47">
      <c r="A33" t="str">
        <f t="shared" si="0"/>
        <v>LTW-017</v>
      </c>
      <c r="B33" s="5" t="s">
        <v>52</v>
      </c>
      <c r="C33" s="6" t="s">
        <v>53</v>
      </c>
      <c r="D33" s="7">
        <v>46128</v>
      </c>
      <c r="E33" s="7">
        <v>2958465</v>
      </c>
      <c r="F33" s="6" t="s">
        <v>361</v>
      </c>
      <c r="G33" s="6" t="s">
        <v>55</v>
      </c>
      <c r="H33" s="6" t="s">
        <v>56</v>
      </c>
      <c r="I33" s="6" t="s">
        <v>57</v>
      </c>
      <c r="J33" s="6" t="s">
        <v>58</v>
      </c>
      <c r="K33" s="6" t="s">
        <v>346</v>
      </c>
      <c r="L33" s="6" t="s">
        <v>362</v>
      </c>
      <c r="M33" s="6" t="s">
        <v>348</v>
      </c>
      <c r="N33" s="6" t="s">
        <v>349</v>
      </c>
      <c r="O33" s="6" t="s">
        <v>363</v>
      </c>
      <c r="P33" s="6" t="s">
        <v>351</v>
      </c>
      <c r="Q33" s="6" t="s">
        <v>352</v>
      </c>
      <c r="R33" s="6" t="s">
        <v>66</v>
      </c>
      <c r="S33" s="6" t="s">
        <v>353</v>
      </c>
      <c r="T33" s="6" t="s">
        <v>68</v>
      </c>
      <c r="U33" s="6" t="s">
        <v>65</v>
      </c>
      <c r="V33" s="6" t="s">
        <v>140</v>
      </c>
      <c r="W33" s="6" t="s">
        <v>70</v>
      </c>
      <c r="X33" s="7"/>
      <c r="Y33" s="6" t="s">
        <v>65</v>
      </c>
      <c r="Z33" s="6" t="s">
        <v>65</v>
      </c>
      <c r="AA33" s="6" t="s">
        <v>65</v>
      </c>
      <c r="AB33" s="8">
        <v>25000</v>
      </c>
      <c r="AC33" s="7"/>
      <c r="AD33" s="7"/>
      <c r="AE33" s="7"/>
      <c r="AF33" s="7"/>
      <c r="AG33" s="6" t="s">
        <v>72</v>
      </c>
      <c r="AH33" s="6" t="s">
        <v>73</v>
      </c>
      <c r="AI33" s="6" t="s">
        <v>65</v>
      </c>
      <c r="AJ33" s="7"/>
      <c r="AK33" s="6" t="s">
        <v>74</v>
      </c>
      <c r="AL33" s="6" t="s">
        <v>65</v>
      </c>
      <c r="AM33" s="6" t="s">
        <v>65</v>
      </c>
      <c r="AN33" s="9">
        <v>0</v>
      </c>
      <c r="AO33" s="9">
        <v>0</v>
      </c>
      <c r="AP33" s="6" t="s">
        <v>73</v>
      </c>
      <c r="AQ33" s="8">
        <v>0</v>
      </c>
      <c r="AR33" s="7"/>
      <c r="AS33" s="6" t="s">
        <v>65</v>
      </c>
      <c r="AT33" s="6" t="s">
        <v>65</v>
      </c>
      <c r="AU33" s="6" t="s">
        <v>350</v>
      </c>
    </row>
    <row r="34" spans="1:47">
      <c r="A34" t="str">
        <f t="shared" si="0"/>
        <v>LTW-026</v>
      </c>
      <c r="B34" s="5" t="s">
        <v>52</v>
      </c>
      <c r="C34" s="6" t="s">
        <v>53</v>
      </c>
      <c r="D34" s="7">
        <v>46261</v>
      </c>
      <c r="E34" s="7">
        <v>2958465</v>
      </c>
      <c r="F34" s="6" t="s">
        <v>364</v>
      </c>
      <c r="G34" s="6" t="s">
        <v>93</v>
      </c>
      <c r="H34" s="6" t="s">
        <v>94</v>
      </c>
      <c r="I34" s="6" t="s">
        <v>95</v>
      </c>
      <c r="J34" s="6" t="s">
        <v>96</v>
      </c>
      <c r="K34" s="6" t="s">
        <v>346</v>
      </c>
      <c r="L34" s="6" t="s">
        <v>365</v>
      </c>
      <c r="M34" s="6" t="s">
        <v>366</v>
      </c>
      <c r="N34" s="6" t="s">
        <v>367</v>
      </c>
      <c r="O34" s="6" t="s">
        <v>65</v>
      </c>
      <c r="P34" s="6" t="s">
        <v>368</v>
      </c>
      <c r="Q34" s="6" t="s">
        <v>110</v>
      </c>
      <c r="R34" s="6" t="s">
        <v>66</v>
      </c>
      <c r="S34" s="6" t="s">
        <v>353</v>
      </c>
      <c r="T34" s="6" t="s">
        <v>68</v>
      </c>
      <c r="U34" s="6" t="s">
        <v>65</v>
      </c>
      <c r="V34" s="6" t="s">
        <v>65</v>
      </c>
      <c r="W34" s="6" t="s">
        <v>70</v>
      </c>
      <c r="X34" s="7"/>
      <c r="Y34" s="6" t="s">
        <v>65</v>
      </c>
      <c r="Z34" s="6" t="s">
        <v>65</v>
      </c>
      <c r="AA34" s="6" t="s">
        <v>65</v>
      </c>
      <c r="AB34" s="8">
        <v>0</v>
      </c>
      <c r="AC34" s="7"/>
      <c r="AD34" s="7"/>
      <c r="AE34" s="7"/>
      <c r="AF34" s="7"/>
      <c r="AG34" s="6" t="s">
        <v>72</v>
      </c>
      <c r="AH34" s="6" t="s">
        <v>73</v>
      </c>
      <c r="AI34" s="6" t="s">
        <v>369</v>
      </c>
      <c r="AJ34" s="7"/>
      <c r="AK34" s="6" t="s">
        <v>65</v>
      </c>
      <c r="AL34" s="6" t="s">
        <v>65</v>
      </c>
      <c r="AM34" s="6" t="s">
        <v>65</v>
      </c>
      <c r="AN34" s="9">
        <v>0</v>
      </c>
      <c r="AO34" s="9">
        <v>0</v>
      </c>
      <c r="AP34" s="6" t="s">
        <v>73</v>
      </c>
      <c r="AQ34" s="8">
        <v>0</v>
      </c>
      <c r="AR34" s="7"/>
      <c r="AS34" s="6" t="s">
        <v>65</v>
      </c>
      <c r="AT34" s="6" t="s">
        <v>65</v>
      </c>
      <c r="AU34" s="6" t="s">
        <v>370</v>
      </c>
    </row>
    <row r="35" spans="1:47">
      <c r="A35" t="str">
        <f t="shared" si="0"/>
        <v>LTW-027</v>
      </c>
      <c r="B35" s="5" t="s">
        <v>52</v>
      </c>
      <c r="C35" s="6" t="s">
        <v>53</v>
      </c>
      <c r="D35" s="7">
        <v>46261</v>
      </c>
      <c r="E35" s="7">
        <v>2958465</v>
      </c>
      <c r="F35" s="6" t="s">
        <v>371</v>
      </c>
      <c r="G35" s="6" t="s">
        <v>93</v>
      </c>
      <c r="H35" s="6" t="s">
        <v>94</v>
      </c>
      <c r="I35" s="6" t="s">
        <v>95</v>
      </c>
      <c r="J35" s="6" t="s">
        <v>96</v>
      </c>
      <c r="K35" s="6" t="s">
        <v>346</v>
      </c>
      <c r="L35" s="6" t="s">
        <v>372</v>
      </c>
      <c r="M35" s="6" t="s">
        <v>366</v>
      </c>
      <c r="N35" s="6" t="s">
        <v>367</v>
      </c>
      <c r="O35" s="6" t="s">
        <v>65</v>
      </c>
      <c r="P35" s="6" t="s">
        <v>368</v>
      </c>
      <c r="Q35" s="6" t="s">
        <v>110</v>
      </c>
      <c r="R35" s="6" t="s">
        <v>66</v>
      </c>
      <c r="S35" s="6" t="s">
        <v>353</v>
      </c>
      <c r="T35" s="6" t="s">
        <v>68</v>
      </c>
      <c r="U35" s="6" t="s">
        <v>65</v>
      </c>
      <c r="V35" s="6" t="s">
        <v>65</v>
      </c>
      <c r="W35" s="6" t="s">
        <v>70</v>
      </c>
      <c r="X35" s="7"/>
      <c r="Y35" s="6" t="s">
        <v>65</v>
      </c>
      <c r="Z35" s="6" t="s">
        <v>65</v>
      </c>
      <c r="AA35" s="6" t="s">
        <v>65</v>
      </c>
      <c r="AB35" s="8">
        <v>0</v>
      </c>
      <c r="AC35" s="7"/>
      <c r="AD35" s="7"/>
      <c r="AE35" s="7"/>
      <c r="AF35" s="7"/>
      <c r="AG35" s="6" t="s">
        <v>72</v>
      </c>
      <c r="AH35" s="6" t="s">
        <v>73</v>
      </c>
      <c r="AI35" s="6" t="s">
        <v>373</v>
      </c>
      <c r="AJ35" s="7"/>
      <c r="AK35" s="6" t="s">
        <v>65</v>
      </c>
      <c r="AL35" s="6" t="s">
        <v>65</v>
      </c>
      <c r="AM35" s="6" t="s">
        <v>65</v>
      </c>
      <c r="AN35" s="9">
        <v>0</v>
      </c>
      <c r="AO35" s="9">
        <v>0</v>
      </c>
      <c r="AP35" s="6" t="s">
        <v>73</v>
      </c>
      <c r="AQ35" s="8">
        <v>0</v>
      </c>
      <c r="AR35" s="7"/>
      <c r="AS35" s="6" t="s">
        <v>65</v>
      </c>
      <c r="AT35" s="6" t="s">
        <v>65</v>
      </c>
      <c r="AU35" s="6" t="s">
        <v>374</v>
      </c>
    </row>
    <row r="36" spans="1:47">
      <c r="A36" t="str">
        <f t="shared" si="0"/>
        <v>LTW-028</v>
      </c>
      <c r="B36" s="5" t="s">
        <v>52</v>
      </c>
      <c r="C36" s="6" t="s">
        <v>53</v>
      </c>
      <c r="D36" s="7">
        <v>46261</v>
      </c>
      <c r="E36" s="7">
        <v>2958465</v>
      </c>
      <c r="F36" s="6" t="s">
        <v>375</v>
      </c>
      <c r="G36" s="6" t="s">
        <v>93</v>
      </c>
      <c r="H36" s="6" t="s">
        <v>94</v>
      </c>
      <c r="I36" s="6" t="s">
        <v>95</v>
      </c>
      <c r="J36" s="6" t="s">
        <v>96</v>
      </c>
      <c r="K36" s="6" t="s">
        <v>346</v>
      </c>
      <c r="L36" s="6" t="s">
        <v>376</v>
      </c>
      <c r="M36" s="6" t="s">
        <v>366</v>
      </c>
      <c r="N36" s="6" t="s">
        <v>367</v>
      </c>
      <c r="O36" s="6" t="s">
        <v>65</v>
      </c>
      <c r="P36" s="6" t="s">
        <v>368</v>
      </c>
      <c r="Q36" s="6" t="s">
        <v>110</v>
      </c>
      <c r="R36" s="6" t="s">
        <v>66</v>
      </c>
      <c r="S36" s="6" t="s">
        <v>353</v>
      </c>
      <c r="T36" s="6" t="s">
        <v>68</v>
      </c>
      <c r="U36" s="6" t="s">
        <v>65</v>
      </c>
      <c r="V36" s="6" t="s">
        <v>65</v>
      </c>
      <c r="W36" s="6" t="s">
        <v>70</v>
      </c>
      <c r="X36" s="7"/>
      <c r="Y36" s="6" t="s">
        <v>65</v>
      </c>
      <c r="Z36" s="6" t="s">
        <v>65</v>
      </c>
      <c r="AA36" s="6" t="s">
        <v>65</v>
      </c>
      <c r="AB36" s="8">
        <v>0</v>
      </c>
      <c r="AC36" s="7"/>
      <c r="AD36" s="7"/>
      <c r="AE36" s="7"/>
      <c r="AF36" s="7"/>
      <c r="AG36" s="6" t="s">
        <v>72</v>
      </c>
      <c r="AH36" s="6" t="s">
        <v>73</v>
      </c>
      <c r="AI36" s="6" t="s">
        <v>377</v>
      </c>
      <c r="AJ36" s="7"/>
      <c r="AK36" s="6" t="s">
        <v>65</v>
      </c>
      <c r="AL36" s="6" t="s">
        <v>65</v>
      </c>
      <c r="AM36" s="6" t="s">
        <v>65</v>
      </c>
      <c r="AN36" s="9">
        <v>0</v>
      </c>
      <c r="AO36" s="9">
        <v>0</v>
      </c>
      <c r="AP36" s="6" t="s">
        <v>73</v>
      </c>
      <c r="AQ36" s="8">
        <v>0</v>
      </c>
      <c r="AR36" s="7"/>
      <c r="AS36" s="6" t="s">
        <v>65</v>
      </c>
      <c r="AT36" s="6" t="s">
        <v>65</v>
      </c>
      <c r="AU36" s="6" t="s">
        <v>378</v>
      </c>
    </row>
    <row r="37" spans="1:47">
      <c r="A37" t="str">
        <f t="shared" si="0"/>
        <v>LTW-029</v>
      </c>
      <c r="B37" s="5" t="s">
        <v>52</v>
      </c>
      <c r="C37" s="6" t="s">
        <v>53</v>
      </c>
      <c r="D37" s="7">
        <v>46261</v>
      </c>
      <c r="E37" s="7">
        <v>2958465</v>
      </c>
      <c r="F37" s="6" t="s">
        <v>379</v>
      </c>
      <c r="G37" s="6" t="s">
        <v>93</v>
      </c>
      <c r="H37" s="6" t="s">
        <v>94</v>
      </c>
      <c r="I37" s="6" t="s">
        <v>95</v>
      </c>
      <c r="J37" s="6" t="s">
        <v>96</v>
      </c>
      <c r="K37" s="6" t="s">
        <v>346</v>
      </c>
      <c r="L37" s="6" t="s">
        <v>380</v>
      </c>
      <c r="M37" s="6" t="s">
        <v>366</v>
      </c>
      <c r="N37" s="6" t="s">
        <v>367</v>
      </c>
      <c r="O37" s="6" t="s">
        <v>65</v>
      </c>
      <c r="P37" s="6" t="s">
        <v>368</v>
      </c>
      <c r="Q37" s="6" t="s">
        <v>110</v>
      </c>
      <c r="R37" s="6" t="s">
        <v>66</v>
      </c>
      <c r="S37" s="6" t="s">
        <v>353</v>
      </c>
      <c r="T37" s="6" t="s">
        <v>68</v>
      </c>
      <c r="U37" s="6" t="s">
        <v>65</v>
      </c>
      <c r="V37" s="6" t="s">
        <v>65</v>
      </c>
      <c r="W37" s="6" t="s">
        <v>70</v>
      </c>
      <c r="X37" s="7"/>
      <c r="Y37" s="6" t="s">
        <v>65</v>
      </c>
      <c r="Z37" s="6" t="s">
        <v>65</v>
      </c>
      <c r="AA37" s="6" t="s">
        <v>65</v>
      </c>
      <c r="AB37" s="8">
        <v>0</v>
      </c>
      <c r="AC37" s="7"/>
      <c r="AD37" s="7"/>
      <c r="AE37" s="7"/>
      <c r="AF37" s="7"/>
      <c r="AG37" s="6" t="s">
        <v>72</v>
      </c>
      <c r="AH37" s="6" t="s">
        <v>73</v>
      </c>
      <c r="AI37" s="6" t="s">
        <v>381</v>
      </c>
      <c r="AJ37" s="7"/>
      <c r="AK37" s="6" t="s">
        <v>65</v>
      </c>
      <c r="AL37" s="6" t="s">
        <v>65</v>
      </c>
      <c r="AM37" s="6" t="s">
        <v>65</v>
      </c>
      <c r="AN37" s="9">
        <v>0</v>
      </c>
      <c r="AO37" s="9">
        <v>0</v>
      </c>
      <c r="AP37" s="6" t="s">
        <v>73</v>
      </c>
      <c r="AQ37" s="8">
        <v>0</v>
      </c>
      <c r="AR37" s="7"/>
      <c r="AS37" s="6" t="s">
        <v>65</v>
      </c>
      <c r="AT37" s="6" t="s">
        <v>65</v>
      </c>
      <c r="AU37" s="6" t="s">
        <v>382</v>
      </c>
    </row>
    <row r="38" spans="1:47">
      <c r="A38" t="str">
        <f t="shared" si="0"/>
        <v>JNR-014</v>
      </c>
      <c r="B38" s="5" t="s">
        <v>52</v>
      </c>
      <c r="C38" s="6" t="s">
        <v>53</v>
      </c>
      <c r="D38" s="7">
        <v>46112</v>
      </c>
      <c r="E38" s="7">
        <v>2958465</v>
      </c>
      <c r="F38" s="6" t="s">
        <v>383</v>
      </c>
      <c r="G38" s="6" t="s">
        <v>55</v>
      </c>
      <c r="H38" s="6" t="s">
        <v>56</v>
      </c>
      <c r="I38" s="6" t="s">
        <v>57</v>
      </c>
      <c r="J38" s="6" t="s">
        <v>58</v>
      </c>
      <c r="K38" s="6" t="s">
        <v>384</v>
      </c>
      <c r="L38" s="6" t="s">
        <v>385</v>
      </c>
      <c r="M38" s="6" t="s">
        <v>386</v>
      </c>
      <c r="N38" s="6" t="s">
        <v>387</v>
      </c>
      <c r="O38" s="6" t="s">
        <v>385</v>
      </c>
      <c r="P38" s="6" t="s">
        <v>388</v>
      </c>
      <c r="Q38" s="6" t="s">
        <v>152</v>
      </c>
      <c r="R38" s="6" t="s">
        <v>66</v>
      </c>
      <c r="S38" s="6" t="s">
        <v>389</v>
      </c>
      <c r="T38" s="6" t="s">
        <v>68</v>
      </c>
      <c r="U38" s="6" t="s">
        <v>65</v>
      </c>
      <c r="V38" s="6" t="s">
        <v>140</v>
      </c>
      <c r="W38" s="6" t="s">
        <v>70</v>
      </c>
      <c r="X38" s="7"/>
      <c r="Y38" s="6" t="s">
        <v>65</v>
      </c>
      <c r="Z38" s="6" t="s">
        <v>65</v>
      </c>
      <c r="AA38" s="6" t="s">
        <v>65</v>
      </c>
      <c r="AB38" s="8">
        <v>0</v>
      </c>
      <c r="AC38" s="7"/>
      <c r="AD38" s="7"/>
      <c r="AE38" s="7"/>
      <c r="AF38" s="7"/>
      <c r="AG38" s="6" t="s">
        <v>72</v>
      </c>
      <c r="AH38" s="6" t="s">
        <v>73</v>
      </c>
      <c r="AI38" s="6" t="s">
        <v>390</v>
      </c>
      <c r="AJ38" s="7"/>
      <c r="AK38" s="6" t="s">
        <v>65</v>
      </c>
      <c r="AL38" s="6" t="s">
        <v>65</v>
      </c>
      <c r="AM38" s="6" t="s">
        <v>65</v>
      </c>
      <c r="AN38" s="9">
        <v>0</v>
      </c>
      <c r="AO38" s="9">
        <v>0</v>
      </c>
      <c r="AP38" s="6" t="s">
        <v>73</v>
      </c>
      <c r="AQ38" s="8">
        <v>0</v>
      </c>
      <c r="AR38" s="7"/>
      <c r="AS38" s="6" t="s">
        <v>65</v>
      </c>
      <c r="AT38" s="6" t="s">
        <v>65</v>
      </c>
      <c r="AU38" s="6" t="s">
        <v>390</v>
      </c>
    </row>
    <row r="39" spans="1:47">
      <c r="A39" t="str">
        <f t="shared" si="0"/>
        <v>JNR-018</v>
      </c>
      <c r="B39" s="5" t="s">
        <v>52</v>
      </c>
      <c r="C39" s="6" t="s">
        <v>53</v>
      </c>
      <c r="D39" s="7">
        <v>46112</v>
      </c>
      <c r="E39" s="7">
        <v>2958465</v>
      </c>
      <c r="F39" s="6" t="s">
        <v>391</v>
      </c>
      <c r="G39" s="6" t="s">
        <v>55</v>
      </c>
      <c r="H39" s="6" t="s">
        <v>56</v>
      </c>
      <c r="I39" s="6" t="s">
        <v>57</v>
      </c>
      <c r="J39" s="6" t="s">
        <v>58</v>
      </c>
      <c r="K39" s="6" t="s">
        <v>384</v>
      </c>
      <c r="L39" s="6" t="s">
        <v>392</v>
      </c>
      <c r="M39" s="6" t="s">
        <v>393</v>
      </c>
      <c r="N39" s="6" t="s">
        <v>394</v>
      </c>
      <c r="O39" s="6" t="s">
        <v>392</v>
      </c>
      <c r="P39" s="6" t="s">
        <v>395</v>
      </c>
      <c r="Q39" s="6" t="s">
        <v>65</v>
      </c>
      <c r="R39" s="6" t="s">
        <v>66</v>
      </c>
      <c r="S39" s="6" t="s">
        <v>389</v>
      </c>
      <c r="T39" s="6" t="s">
        <v>68</v>
      </c>
      <c r="U39" s="6" t="s">
        <v>65</v>
      </c>
      <c r="V39" s="6" t="s">
        <v>140</v>
      </c>
      <c r="W39" s="6" t="s">
        <v>70</v>
      </c>
      <c r="X39" s="7"/>
      <c r="Y39" s="6" t="s">
        <v>65</v>
      </c>
      <c r="Z39" s="6" t="s">
        <v>65</v>
      </c>
      <c r="AA39" s="6" t="s">
        <v>65</v>
      </c>
      <c r="AB39" s="8">
        <v>0</v>
      </c>
      <c r="AC39" s="7"/>
      <c r="AD39" s="7"/>
      <c r="AE39" s="7"/>
      <c r="AF39" s="7"/>
      <c r="AG39" s="6" t="s">
        <v>72</v>
      </c>
      <c r="AH39" s="6" t="s">
        <v>73</v>
      </c>
      <c r="AI39" s="6" t="s">
        <v>65</v>
      </c>
      <c r="AJ39" s="7"/>
      <c r="AK39" s="6" t="s">
        <v>65</v>
      </c>
      <c r="AL39" s="6" t="s">
        <v>65</v>
      </c>
      <c r="AM39" s="6" t="s">
        <v>65</v>
      </c>
      <c r="AN39" s="9">
        <v>0</v>
      </c>
      <c r="AO39" s="9">
        <v>0</v>
      </c>
      <c r="AP39" s="6" t="s">
        <v>73</v>
      </c>
      <c r="AQ39" s="8">
        <v>0</v>
      </c>
      <c r="AR39" s="7"/>
      <c r="AS39" s="6" t="s">
        <v>65</v>
      </c>
      <c r="AT39" s="6" t="s">
        <v>65</v>
      </c>
      <c r="AU39" s="6" t="s">
        <v>396</v>
      </c>
    </row>
    <row r="40" spans="1:47">
      <c r="A40" t="str">
        <f t="shared" si="0"/>
        <v>JNR-020</v>
      </c>
      <c r="B40" s="5" t="s">
        <v>52</v>
      </c>
      <c r="C40" s="6" t="s">
        <v>53</v>
      </c>
      <c r="D40" s="7">
        <v>46183</v>
      </c>
      <c r="E40" s="7">
        <v>2958465</v>
      </c>
      <c r="F40" s="6" t="s">
        <v>397</v>
      </c>
      <c r="G40" s="6" t="s">
        <v>55</v>
      </c>
      <c r="H40" s="6" t="s">
        <v>56</v>
      </c>
      <c r="I40" s="6" t="s">
        <v>57</v>
      </c>
      <c r="J40" s="6" t="s">
        <v>58</v>
      </c>
      <c r="K40" s="6" t="s">
        <v>384</v>
      </c>
      <c r="L40" s="6" t="s">
        <v>398</v>
      </c>
      <c r="M40" s="6" t="s">
        <v>399</v>
      </c>
      <c r="N40" s="6" t="s">
        <v>400</v>
      </c>
      <c r="O40" s="6" t="s">
        <v>401</v>
      </c>
      <c r="P40" s="6" t="s">
        <v>388</v>
      </c>
      <c r="Q40" s="6" t="s">
        <v>65</v>
      </c>
      <c r="R40" s="6" t="s">
        <v>66</v>
      </c>
      <c r="S40" s="6" t="s">
        <v>389</v>
      </c>
      <c r="T40" s="6" t="s">
        <v>68</v>
      </c>
      <c r="U40" s="6" t="s">
        <v>65</v>
      </c>
      <c r="V40" s="6" t="s">
        <v>140</v>
      </c>
      <c r="W40" s="6" t="s">
        <v>70</v>
      </c>
      <c r="X40" s="7"/>
      <c r="Y40" s="6" t="s">
        <v>65</v>
      </c>
      <c r="Z40" s="6" t="s">
        <v>65</v>
      </c>
      <c r="AA40" s="6" t="s">
        <v>65</v>
      </c>
      <c r="AB40" s="8">
        <v>0</v>
      </c>
      <c r="AC40" s="7"/>
      <c r="AD40" s="7"/>
      <c r="AE40" s="7"/>
      <c r="AF40" s="7"/>
      <c r="AG40" s="6" t="s">
        <v>72</v>
      </c>
      <c r="AH40" s="6" t="s">
        <v>73</v>
      </c>
      <c r="AI40" s="6" t="s">
        <v>402</v>
      </c>
      <c r="AJ40" s="7"/>
      <c r="AK40" s="6" t="s">
        <v>65</v>
      </c>
      <c r="AL40" s="6" t="s">
        <v>65</v>
      </c>
      <c r="AM40" s="6" t="s">
        <v>65</v>
      </c>
      <c r="AN40" s="9">
        <v>0</v>
      </c>
      <c r="AO40" s="9">
        <v>0</v>
      </c>
      <c r="AP40" s="6" t="s">
        <v>73</v>
      </c>
      <c r="AQ40" s="8">
        <v>0</v>
      </c>
      <c r="AR40" s="7"/>
      <c r="AS40" s="6" t="s">
        <v>65</v>
      </c>
      <c r="AT40" s="6" t="s">
        <v>65</v>
      </c>
      <c r="AU40" s="6" t="s">
        <v>401</v>
      </c>
    </row>
    <row r="41" spans="1:47">
      <c r="A41" t="str">
        <f t="shared" si="0"/>
        <v>JNR-022</v>
      </c>
      <c r="B41" s="5" t="s">
        <v>52</v>
      </c>
      <c r="C41" s="6" t="s">
        <v>53</v>
      </c>
      <c r="D41" s="7">
        <v>46233</v>
      </c>
      <c r="E41" s="7">
        <v>2958465</v>
      </c>
      <c r="F41" s="6" t="s">
        <v>403</v>
      </c>
      <c r="G41" s="6" t="s">
        <v>55</v>
      </c>
      <c r="H41" s="6" t="s">
        <v>56</v>
      </c>
      <c r="I41" s="6" t="s">
        <v>57</v>
      </c>
      <c r="J41" s="6" t="s">
        <v>58</v>
      </c>
      <c r="K41" s="6" t="s">
        <v>384</v>
      </c>
      <c r="L41" s="6" t="s">
        <v>404</v>
      </c>
      <c r="M41" s="6" t="s">
        <v>405</v>
      </c>
      <c r="N41" s="6" t="s">
        <v>406</v>
      </c>
      <c r="O41" s="6" t="s">
        <v>407</v>
      </c>
      <c r="P41" s="6" t="s">
        <v>408</v>
      </c>
      <c r="Q41" s="6" t="s">
        <v>172</v>
      </c>
      <c r="R41" s="6" t="s">
        <v>66</v>
      </c>
      <c r="S41" s="6" t="s">
        <v>389</v>
      </c>
      <c r="T41" s="6" t="s">
        <v>68</v>
      </c>
      <c r="U41" s="6" t="s">
        <v>65</v>
      </c>
      <c r="V41" s="6" t="s">
        <v>140</v>
      </c>
      <c r="W41" s="6" t="s">
        <v>70</v>
      </c>
      <c r="X41" s="7"/>
      <c r="Y41" s="6" t="s">
        <v>65</v>
      </c>
      <c r="Z41" s="6" t="s">
        <v>65</v>
      </c>
      <c r="AA41" s="6" t="s">
        <v>65</v>
      </c>
      <c r="AB41" s="8">
        <v>0</v>
      </c>
      <c r="AC41" s="7"/>
      <c r="AD41" s="7"/>
      <c r="AE41" s="7"/>
      <c r="AF41" s="7"/>
      <c r="AG41" s="6" t="s">
        <v>72</v>
      </c>
      <c r="AH41" s="6" t="s">
        <v>73</v>
      </c>
      <c r="AI41" s="6" t="s">
        <v>409</v>
      </c>
      <c r="AJ41" s="7"/>
      <c r="AK41" s="6" t="s">
        <v>65</v>
      </c>
      <c r="AL41" s="6" t="s">
        <v>65</v>
      </c>
      <c r="AM41" s="6" t="s">
        <v>65</v>
      </c>
      <c r="AN41" s="9">
        <v>0</v>
      </c>
      <c r="AO41" s="9">
        <v>0</v>
      </c>
      <c r="AP41" s="6" t="s">
        <v>73</v>
      </c>
      <c r="AQ41" s="8">
        <v>0</v>
      </c>
      <c r="AR41" s="7"/>
      <c r="AS41" s="6" t="s">
        <v>65</v>
      </c>
      <c r="AT41" s="6" t="s">
        <v>65</v>
      </c>
      <c r="AU41" s="6" t="s">
        <v>410</v>
      </c>
    </row>
    <row r="42" spans="1:47">
      <c r="A42" t="str">
        <f t="shared" si="0"/>
        <v>JNR-024</v>
      </c>
      <c r="B42" s="5" t="s">
        <v>52</v>
      </c>
      <c r="C42" s="6" t="s">
        <v>53</v>
      </c>
      <c r="D42" s="7">
        <v>46183</v>
      </c>
      <c r="E42" s="7">
        <v>2958465</v>
      </c>
      <c r="F42" s="6" t="s">
        <v>411</v>
      </c>
      <c r="G42" s="6" t="s">
        <v>55</v>
      </c>
      <c r="H42" s="6" t="s">
        <v>56</v>
      </c>
      <c r="I42" s="6" t="s">
        <v>57</v>
      </c>
      <c r="J42" s="6" t="s">
        <v>58</v>
      </c>
      <c r="K42" s="6" t="s">
        <v>384</v>
      </c>
      <c r="L42" s="6" t="s">
        <v>412</v>
      </c>
      <c r="M42" s="6" t="s">
        <v>413</v>
      </c>
      <c r="N42" s="6" t="s">
        <v>414</v>
      </c>
      <c r="O42" s="6" t="s">
        <v>412</v>
      </c>
      <c r="P42" s="6" t="s">
        <v>415</v>
      </c>
      <c r="Q42" s="6" t="s">
        <v>214</v>
      </c>
      <c r="R42" s="6" t="s">
        <v>66</v>
      </c>
      <c r="S42" s="6" t="s">
        <v>389</v>
      </c>
      <c r="T42" s="6" t="s">
        <v>68</v>
      </c>
      <c r="U42" s="6" t="s">
        <v>65</v>
      </c>
      <c r="V42" s="6" t="s">
        <v>140</v>
      </c>
      <c r="W42" s="6" t="s">
        <v>70</v>
      </c>
      <c r="X42" s="7"/>
      <c r="Y42" s="6" t="s">
        <v>65</v>
      </c>
      <c r="Z42" s="6" t="s">
        <v>65</v>
      </c>
      <c r="AA42" s="6" t="s">
        <v>65</v>
      </c>
      <c r="AB42" s="8">
        <v>0</v>
      </c>
      <c r="AC42" s="7"/>
      <c r="AD42" s="7"/>
      <c r="AE42" s="7"/>
      <c r="AF42" s="7"/>
      <c r="AG42" s="6" t="s">
        <v>72</v>
      </c>
      <c r="AH42" s="6" t="s">
        <v>73</v>
      </c>
      <c r="AI42" s="6" t="s">
        <v>416</v>
      </c>
      <c r="AJ42" s="7"/>
      <c r="AK42" s="6" t="s">
        <v>65</v>
      </c>
      <c r="AL42" s="6" t="s">
        <v>65</v>
      </c>
      <c r="AM42" s="6" t="s">
        <v>65</v>
      </c>
      <c r="AN42" s="9">
        <v>0</v>
      </c>
      <c r="AO42" s="9">
        <v>0</v>
      </c>
      <c r="AP42" s="6" t="s">
        <v>73</v>
      </c>
      <c r="AQ42" s="8">
        <v>0</v>
      </c>
      <c r="AR42" s="7"/>
      <c r="AS42" s="6" t="s">
        <v>65</v>
      </c>
      <c r="AT42" s="6" t="s">
        <v>65</v>
      </c>
      <c r="AU42" s="6" t="s">
        <v>417</v>
      </c>
    </row>
    <row r="43" spans="1:47">
      <c r="A43" t="str">
        <f t="shared" si="0"/>
        <v>JNR-039</v>
      </c>
      <c r="B43" s="5" t="s">
        <v>52</v>
      </c>
      <c r="C43" s="6" t="s">
        <v>53</v>
      </c>
      <c r="D43" s="7">
        <v>46270</v>
      </c>
      <c r="E43" s="7">
        <v>2958465</v>
      </c>
      <c r="F43" s="6" t="s">
        <v>1008</v>
      </c>
      <c r="G43" s="6" t="s">
        <v>93</v>
      </c>
      <c r="H43" s="6" t="s">
        <v>94</v>
      </c>
      <c r="I43" s="6" t="s">
        <v>95</v>
      </c>
      <c r="J43" s="6" t="s">
        <v>96</v>
      </c>
      <c r="K43" s="6" t="s">
        <v>384</v>
      </c>
      <c r="L43" s="6" t="s">
        <v>1009</v>
      </c>
      <c r="M43" s="6" t="s">
        <v>1010</v>
      </c>
      <c r="N43" s="6" t="s">
        <v>1011</v>
      </c>
      <c r="O43" s="6" t="s">
        <v>1012</v>
      </c>
      <c r="P43" s="6" t="s">
        <v>1013</v>
      </c>
      <c r="Q43" s="6" t="s">
        <v>162</v>
      </c>
      <c r="R43" s="6" t="s">
        <v>421</v>
      </c>
      <c r="S43" s="6" t="s">
        <v>389</v>
      </c>
      <c r="T43" s="6" t="s">
        <v>68</v>
      </c>
      <c r="U43" s="6" t="s">
        <v>65</v>
      </c>
      <c r="V43" s="6" t="s">
        <v>65</v>
      </c>
      <c r="W43" s="6" t="s">
        <v>70</v>
      </c>
      <c r="X43" s="7"/>
      <c r="Y43" s="6" t="s">
        <v>65</v>
      </c>
      <c r="Z43" s="6" t="s">
        <v>65</v>
      </c>
      <c r="AA43" s="6" t="s">
        <v>65</v>
      </c>
      <c r="AB43" s="8">
        <v>0</v>
      </c>
      <c r="AC43" s="7"/>
      <c r="AD43" s="7"/>
      <c r="AE43" s="7"/>
      <c r="AF43" s="7"/>
      <c r="AG43" s="6" t="s">
        <v>65</v>
      </c>
      <c r="AH43" s="6" t="s">
        <v>73</v>
      </c>
      <c r="AI43" s="6" t="s">
        <v>65</v>
      </c>
      <c r="AJ43" s="7"/>
      <c r="AK43" s="6" t="s">
        <v>65</v>
      </c>
      <c r="AL43" s="6" t="s">
        <v>65</v>
      </c>
      <c r="AM43" s="6" t="s">
        <v>65</v>
      </c>
      <c r="AN43" s="9">
        <v>0</v>
      </c>
      <c r="AO43" s="9">
        <v>0</v>
      </c>
      <c r="AP43" s="6" t="s">
        <v>73</v>
      </c>
      <c r="AQ43" s="8">
        <v>0</v>
      </c>
      <c r="AR43" s="7"/>
      <c r="AS43" s="6" t="s">
        <v>65</v>
      </c>
      <c r="AT43" s="6" t="s">
        <v>65</v>
      </c>
      <c r="AU43" s="6" t="s">
        <v>65</v>
      </c>
    </row>
    <row r="44" spans="1:47">
      <c r="A44" t="str">
        <f t="shared" si="0"/>
        <v>JNR-046</v>
      </c>
      <c r="B44" s="5" t="s">
        <v>52</v>
      </c>
      <c r="C44" s="6" t="s">
        <v>53</v>
      </c>
      <c r="D44" s="7">
        <v>46253</v>
      </c>
      <c r="E44" s="7">
        <v>2958465</v>
      </c>
      <c r="F44" s="6" t="s">
        <v>418</v>
      </c>
      <c r="G44" s="6" t="s">
        <v>93</v>
      </c>
      <c r="H44" s="6" t="s">
        <v>94</v>
      </c>
      <c r="I44" s="6" t="s">
        <v>95</v>
      </c>
      <c r="J44" s="6" t="s">
        <v>96</v>
      </c>
      <c r="K44" s="6" t="s">
        <v>384</v>
      </c>
      <c r="L44" s="6" t="s">
        <v>419</v>
      </c>
      <c r="M44" s="6" t="s">
        <v>420</v>
      </c>
      <c r="N44" s="6" t="s">
        <v>406</v>
      </c>
      <c r="O44" s="6" t="s">
        <v>65</v>
      </c>
      <c r="P44" s="6" t="s">
        <v>408</v>
      </c>
      <c r="Q44" s="6" t="s">
        <v>243</v>
      </c>
      <c r="R44" s="6" t="s">
        <v>421</v>
      </c>
      <c r="S44" s="6" t="s">
        <v>389</v>
      </c>
      <c r="T44" s="6" t="s">
        <v>68</v>
      </c>
      <c r="U44" s="6" t="s">
        <v>422</v>
      </c>
      <c r="V44" s="6" t="s">
        <v>140</v>
      </c>
      <c r="W44" s="6" t="s">
        <v>70</v>
      </c>
      <c r="X44" s="7"/>
      <c r="Y44" s="6" t="s">
        <v>65</v>
      </c>
      <c r="Z44" s="6" t="s">
        <v>65</v>
      </c>
      <c r="AA44" s="6" t="s">
        <v>65</v>
      </c>
      <c r="AB44" s="8">
        <v>0</v>
      </c>
      <c r="AC44" s="7"/>
      <c r="AD44" s="7"/>
      <c r="AE44" s="7"/>
      <c r="AF44" s="7"/>
      <c r="AG44" s="6" t="s">
        <v>72</v>
      </c>
      <c r="AH44" s="6" t="s">
        <v>234</v>
      </c>
      <c r="AI44" s="6" t="s">
        <v>65</v>
      </c>
      <c r="AJ44" s="7"/>
      <c r="AK44" s="6" t="s">
        <v>65</v>
      </c>
      <c r="AL44" s="6" t="s">
        <v>65</v>
      </c>
      <c r="AM44" s="6" t="s">
        <v>65</v>
      </c>
      <c r="AN44" s="9">
        <v>0</v>
      </c>
      <c r="AO44" s="9">
        <v>0</v>
      </c>
      <c r="AP44" s="6" t="s">
        <v>234</v>
      </c>
      <c r="AQ44" s="8">
        <v>0</v>
      </c>
      <c r="AR44" s="7"/>
      <c r="AS44" s="6" t="s">
        <v>65</v>
      </c>
      <c r="AT44" s="6" t="s">
        <v>65</v>
      </c>
      <c r="AU44" s="6" t="s">
        <v>422</v>
      </c>
    </row>
    <row r="45" spans="1:47">
      <c r="A45" t="str">
        <f t="shared" si="0"/>
        <v>KIR-1000</v>
      </c>
      <c r="B45" s="5" t="s">
        <v>52</v>
      </c>
      <c r="C45" s="6" t="s">
        <v>55</v>
      </c>
      <c r="D45" s="7">
        <v>46234</v>
      </c>
      <c r="E45" s="7">
        <v>2958465</v>
      </c>
      <c r="F45" s="6" t="s">
        <v>423</v>
      </c>
      <c r="G45" s="6" t="s">
        <v>55</v>
      </c>
      <c r="H45" s="6" t="s">
        <v>56</v>
      </c>
      <c r="I45" s="6" t="s">
        <v>57</v>
      </c>
      <c r="J45" s="6" t="s">
        <v>58</v>
      </c>
      <c r="K45" s="6" t="s">
        <v>384</v>
      </c>
      <c r="L45" s="6" t="s">
        <v>424</v>
      </c>
      <c r="M45" s="6" t="s">
        <v>425</v>
      </c>
      <c r="N45" s="6" t="s">
        <v>426</v>
      </c>
      <c r="O45" s="6" t="s">
        <v>65</v>
      </c>
      <c r="P45" s="6" t="s">
        <v>388</v>
      </c>
      <c r="Q45" s="6" t="s">
        <v>427</v>
      </c>
      <c r="R45" s="6" t="s">
        <v>66</v>
      </c>
      <c r="S45" s="6" t="s">
        <v>389</v>
      </c>
      <c r="T45" s="6" t="s">
        <v>68</v>
      </c>
      <c r="U45" s="6" t="s">
        <v>65</v>
      </c>
      <c r="V45" s="6" t="s">
        <v>65</v>
      </c>
      <c r="W45" s="6" t="s">
        <v>70</v>
      </c>
      <c r="X45" s="7"/>
      <c r="Y45" s="6" t="s">
        <v>65</v>
      </c>
      <c r="Z45" s="6" t="s">
        <v>65</v>
      </c>
      <c r="AA45" s="6" t="s">
        <v>65</v>
      </c>
      <c r="AB45" s="8">
        <v>0</v>
      </c>
      <c r="AC45" s="7"/>
      <c r="AD45" s="7"/>
      <c r="AE45" s="7"/>
      <c r="AF45" s="7"/>
      <c r="AG45" s="6" t="s">
        <v>273</v>
      </c>
      <c r="AH45" s="6" t="s">
        <v>428</v>
      </c>
      <c r="AI45" s="6" t="s">
        <v>429</v>
      </c>
      <c r="AJ45" s="7"/>
      <c r="AK45" s="6" t="s">
        <v>65</v>
      </c>
      <c r="AL45" s="6" t="s">
        <v>65</v>
      </c>
      <c r="AM45" s="6" t="s">
        <v>65</v>
      </c>
      <c r="AN45" s="9">
        <v>0</v>
      </c>
      <c r="AO45" s="9">
        <v>0</v>
      </c>
      <c r="AP45" s="6" t="s">
        <v>428</v>
      </c>
      <c r="AQ45" s="8">
        <v>0</v>
      </c>
      <c r="AR45" s="7"/>
      <c r="AS45" s="6" t="s">
        <v>65</v>
      </c>
      <c r="AT45" s="6" t="s">
        <v>65</v>
      </c>
      <c r="AU45" s="6" t="s">
        <v>430</v>
      </c>
    </row>
    <row r="46" spans="1:47">
      <c r="A46" t="str">
        <f t="shared" si="0"/>
        <v>KIR-1002</v>
      </c>
      <c r="B46" s="5" t="s">
        <v>52</v>
      </c>
      <c r="C46" s="6" t="s">
        <v>55</v>
      </c>
      <c r="D46" s="7">
        <v>46234</v>
      </c>
      <c r="E46" s="7">
        <v>2958465</v>
      </c>
      <c r="F46" s="6" t="s">
        <v>431</v>
      </c>
      <c r="G46" s="6" t="s">
        <v>55</v>
      </c>
      <c r="H46" s="6" t="s">
        <v>56</v>
      </c>
      <c r="I46" s="6" t="s">
        <v>57</v>
      </c>
      <c r="J46" s="6" t="s">
        <v>58</v>
      </c>
      <c r="K46" s="6" t="s">
        <v>384</v>
      </c>
      <c r="L46" s="6" t="s">
        <v>432</v>
      </c>
      <c r="M46" s="6" t="s">
        <v>433</v>
      </c>
      <c r="N46" s="6" t="s">
        <v>434</v>
      </c>
      <c r="O46" s="6" t="s">
        <v>65</v>
      </c>
      <c r="P46" s="6" t="s">
        <v>435</v>
      </c>
      <c r="Q46" s="6" t="s">
        <v>436</v>
      </c>
      <c r="R46" s="6" t="s">
        <v>66</v>
      </c>
      <c r="S46" s="6" t="s">
        <v>389</v>
      </c>
      <c r="T46" s="6" t="s">
        <v>68</v>
      </c>
      <c r="U46" s="6" t="s">
        <v>65</v>
      </c>
      <c r="V46" s="6" t="s">
        <v>65</v>
      </c>
      <c r="W46" s="6" t="s">
        <v>70</v>
      </c>
      <c r="X46" s="7"/>
      <c r="Y46" s="6" t="s">
        <v>65</v>
      </c>
      <c r="Z46" s="6" t="s">
        <v>65</v>
      </c>
      <c r="AA46" s="6" t="s">
        <v>65</v>
      </c>
      <c r="AB46" s="8">
        <v>0</v>
      </c>
      <c r="AC46" s="7"/>
      <c r="AD46" s="7"/>
      <c r="AE46" s="7"/>
      <c r="AF46" s="7"/>
      <c r="AG46" s="6" t="s">
        <v>273</v>
      </c>
      <c r="AH46" s="6" t="s">
        <v>428</v>
      </c>
      <c r="AI46" s="6" t="s">
        <v>429</v>
      </c>
      <c r="AJ46" s="7"/>
      <c r="AK46" s="6" t="s">
        <v>65</v>
      </c>
      <c r="AL46" s="6" t="s">
        <v>65</v>
      </c>
      <c r="AM46" s="6" t="s">
        <v>65</v>
      </c>
      <c r="AN46" s="9">
        <v>0</v>
      </c>
      <c r="AO46" s="9">
        <v>0</v>
      </c>
      <c r="AP46" s="6" t="s">
        <v>428</v>
      </c>
      <c r="AQ46" s="8">
        <v>0</v>
      </c>
      <c r="AR46" s="7"/>
      <c r="AS46" s="6" t="s">
        <v>65</v>
      </c>
      <c r="AT46" s="6" t="s">
        <v>65</v>
      </c>
      <c r="AU46" s="6" t="s">
        <v>437</v>
      </c>
    </row>
    <row r="47" spans="1:47">
      <c r="A47" t="str">
        <f t="shared" si="0"/>
        <v>KIR-977</v>
      </c>
      <c r="B47" s="5" t="s">
        <v>52</v>
      </c>
      <c r="C47" s="6" t="s">
        <v>55</v>
      </c>
      <c r="D47" s="7">
        <v>46133</v>
      </c>
      <c r="E47" s="7">
        <v>2958465</v>
      </c>
      <c r="F47" s="6" t="s">
        <v>438</v>
      </c>
      <c r="G47" s="6" t="s">
        <v>55</v>
      </c>
      <c r="H47" s="6" t="s">
        <v>56</v>
      </c>
      <c r="I47" s="6" t="s">
        <v>57</v>
      </c>
      <c r="J47" s="6" t="s">
        <v>58</v>
      </c>
      <c r="K47" s="6" t="s">
        <v>384</v>
      </c>
      <c r="L47" s="6" t="s">
        <v>439</v>
      </c>
      <c r="M47" s="6" t="s">
        <v>440</v>
      </c>
      <c r="N47" s="6" t="s">
        <v>441</v>
      </c>
      <c r="O47" s="6" t="s">
        <v>65</v>
      </c>
      <c r="P47" s="6" t="s">
        <v>388</v>
      </c>
      <c r="Q47" s="6" t="s">
        <v>65</v>
      </c>
      <c r="R47" s="6" t="s">
        <v>66</v>
      </c>
      <c r="S47" s="6" t="s">
        <v>389</v>
      </c>
      <c r="T47" s="6" t="s">
        <v>68</v>
      </c>
      <c r="U47" s="6" t="s">
        <v>65</v>
      </c>
      <c r="V47" s="6" t="s">
        <v>65</v>
      </c>
      <c r="W47" s="6" t="s">
        <v>70</v>
      </c>
      <c r="X47" s="7"/>
      <c r="Y47" s="6" t="s">
        <v>65</v>
      </c>
      <c r="Z47" s="6" t="s">
        <v>65</v>
      </c>
      <c r="AA47" s="6" t="s">
        <v>65</v>
      </c>
      <c r="AB47" s="8">
        <v>0</v>
      </c>
      <c r="AC47" s="7"/>
      <c r="AD47" s="7"/>
      <c r="AE47" s="7"/>
      <c r="AF47" s="7"/>
      <c r="AG47" s="6" t="s">
        <v>273</v>
      </c>
      <c r="AH47" s="6" t="s">
        <v>428</v>
      </c>
      <c r="AI47" s="6" t="s">
        <v>442</v>
      </c>
      <c r="AJ47" s="7"/>
      <c r="AK47" s="6" t="s">
        <v>65</v>
      </c>
      <c r="AL47" s="6" t="s">
        <v>65</v>
      </c>
      <c r="AM47" s="6" t="s">
        <v>65</v>
      </c>
      <c r="AN47" s="9">
        <v>0</v>
      </c>
      <c r="AO47" s="9">
        <v>0</v>
      </c>
      <c r="AP47" s="6" t="s">
        <v>428</v>
      </c>
      <c r="AQ47" s="8">
        <v>0</v>
      </c>
      <c r="AR47" s="7"/>
      <c r="AS47" s="6" t="s">
        <v>65</v>
      </c>
      <c r="AT47" s="6" t="s">
        <v>65</v>
      </c>
      <c r="AU47" s="6" t="s">
        <v>443</v>
      </c>
    </row>
    <row r="48" spans="1:47">
      <c r="A48" t="str">
        <f t="shared" si="0"/>
        <v>KIR-978</v>
      </c>
      <c r="B48" s="5" t="s">
        <v>52</v>
      </c>
      <c r="C48" s="6" t="s">
        <v>55</v>
      </c>
      <c r="D48" s="7">
        <v>46133</v>
      </c>
      <c r="E48" s="7">
        <v>2958465</v>
      </c>
      <c r="F48" s="6" t="s">
        <v>444</v>
      </c>
      <c r="G48" s="6" t="s">
        <v>55</v>
      </c>
      <c r="H48" s="6" t="s">
        <v>56</v>
      </c>
      <c r="I48" s="6" t="s">
        <v>57</v>
      </c>
      <c r="J48" s="6" t="s">
        <v>58</v>
      </c>
      <c r="K48" s="6" t="s">
        <v>384</v>
      </c>
      <c r="L48" s="6" t="s">
        <v>445</v>
      </c>
      <c r="M48" s="6" t="s">
        <v>446</v>
      </c>
      <c r="N48" s="6" t="s">
        <v>447</v>
      </c>
      <c r="O48" s="6" t="s">
        <v>65</v>
      </c>
      <c r="P48" s="6" t="s">
        <v>388</v>
      </c>
      <c r="Q48" s="6" t="s">
        <v>65</v>
      </c>
      <c r="R48" s="6" t="s">
        <v>66</v>
      </c>
      <c r="S48" s="6" t="s">
        <v>389</v>
      </c>
      <c r="T48" s="6" t="s">
        <v>68</v>
      </c>
      <c r="U48" s="6" t="s">
        <v>65</v>
      </c>
      <c r="V48" s="6" t="s">
        <v>65</v>
      </c>
      <c r="W48" s="6" t="s">
        <v>70</v>
      </c>
      <c r="X48" s="7"/>
      <c r="Y48" s="6" t="s">
        <v>65</v>
      </c>
      <c r="Z48" s="6" t="s">
        <v>65</v>
      </c>
      <c r="AA48" s="6" t="s">
        <v>65</v>
      </c>
      <c r="AB48" s="8">
        <v>0</v>
      </c>
      <c r="AC48" s="7"/>
      <c r="AD48" s="7"/>
      <c r="AE48" s="7"/>
      <c r="AF48" s="7"/>
      <c r="AG48" s="6" t="s">
        <v>273</v>
      </c>
      <c r="AH48" s="6" t="s">
        <v>428</v>
      </c>
      <c r="AI48" s="6" t="s">
        <v>448</v>
      </c>
      <c r="AJ48" s="7"/>
      <c r="AK48" s="6" t="s">
        <v>65</v>
      </c>
      <c r="AL48" s="6" t="s">
        <v>65</v>
      </c>
      <c r="AM48" s="6" t="s">
        <v>65</v>
      </c>
      <c r="AN48" s="9">
        <v>0</v>
      </c>
      <c r="AO48" s="9">
        <v>0</v>
      </c>
      <c r="AP48" s="6" t="s">
        <v>428</v>
      </c>
      <c r="AQ48" s="8">
        <v>0</v>
      </c>
      <c r="AR48" s="7"/>
      <c r="AS48" s="6" t="s">
        <v>65</v>
      </c>
      <c r="AT48" s="6" t="s">
        <v>65</v>
      </c>
      <c r="AU48" s="6" t="s">
        <v>449</v>
      </c>
    </row>
    <row r="49" spans="1:47">
      <c r="A49" t="str">
        <f t="shared" si="0"/>
        <v>KIR-992</v>
      </c>
      <c r="B49" s="5" t="s">
        <v>52</v>
      </c>
      <c r="C49" s="6" t="s">
        <v>55</v>
      </c>
      <c r="D49" s="7">
        <v>46234</v>
      </c>
      <c r="E49" s="7">
        <v>2958465</v>
      </c>
      <c r="F49" s="6" t="s">
        <v>450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384</v>
      </c>
      <c r="L49" s="6" t="s">
        <v>451</v>
      </c>
      <c r="M49" s="6" t="s">
        <v>425</v>
      </c>
      <c r="N49" s="6" t="s">
        <v>426</v>
      </c>
      <c r="O49" s="6" t="s">
        <v>65</v>
      </c>
      <c r="P49" s="6" t="s">
        <v>388</v>
      </c>
      <c r="Q49" s="6" t="s">
        <v>65</v>
      </c>
      <c r="R49" s="6" t="s">
        <v>66</v>
      </c>
      <c r="S49" s="6" t="s">
        <v>389</v>
      </c>
      <c r="T49" s="6" t="s">
        <v>68</v>
      </c>
      <c r="U49" s="6" t="s">
        <v>65</v>
      </c>
      <c r="V49" s="6" t="s">
        <v>65</v>
      </c>
      <c r="W49" s="6" t="s">
        <v>70</v>
      </c>
      <c r="X49" s="7"/>
      <c r="Y49" s="6" t="s">
        <v>65</v>
      </c>
      <c r="Z49" s="6" t="s">
        <v>65</v>
      </c>
      <c r="AA49" s="6" t="s">
        <v>65</v>
      </c>
      <c r="AB49" s="8">
        <v>0</v>
      </c>
      <c r="AC49" s="7"/>
      <c r="AD49" s="7"/>
      <c r="AE49" s="7"/>
      <c r="AF49" s="7"/>
      <c r="AG49" s="6" t="s">
        <v>273</v>
      </c>
      <c r="AH49" s="6" t="s">
        <v>428</v>
      </c>
      <c r="AI49" s="6" t="s">
        <v>429</v>
      </c>
      <c r="AJ49" s="7"/>
      <c r="AK49" s="6" t="s">
        <v>65</v>
      </c>
      <c r="AL49" s="6" t="s">
        <v>65</v>
      </c>
      <c r="AM49" s="6" t="s">
        <v>65</v>
      </c>
      <c r="AN49" s="9">
        <v>0</v>
      </c>
      <c r="AO49" s="9">
        <v>0</v>
      </c>
      <c r="AP49" s="6" t="s">
        <v>428</v>
      </c>
      <c r="AQ49" s="8">
        <v>0</v>
      </c>
      <c r="AR49" s="7"/>
      <c r="AS49" s="6" t="s">
        <v>65</v>
      </c>
      <c r="AT49" s="6" t="s">
        <v>65</v>
      </c>
      <c r="AU49" s="6" t="s">
        <v>452</v>
      </c>
    </row>
    <row r="50" spans="1:47">
      <c r="A50" t="str">
        <f t="shared" si="0"/>
        <v>KIR-993</v>
      </c>
      <c r="B50" s="5" t="s">
        <v>52</v>
      </c>
      <c r="C50" s="6" t="s">
        <v>55</v>
      </c>
      <c r="D50" s="7">
        <v>46253</v>
      </c>
      <c r="E50" s="7">
        <v>2958465</v>
      </c>
      <c r="F50" s="6" t="s">
        <v>453</v>
      </c>
      <c r="G50" s="6" t="s">
        <v>55</v>
      </c>
      <c r="H50" s="6" t="s">
        <v>56</v>
      </c>
      <c r="I50" s="6" t="s">
        <v>57</v>
      </c>
      <c r="J50" s="6" t="s">
        <v>58</v>
      </c>
      <c r="K50" s="6" t="s">
        <v>384</v>
      </c>
      <c r="L50" s="6" t="s">
        <v>454</v>
      </c>
      <c r="M50" s="6" t="s">
        <v>455</v>
      </c>
      <c r="N50" s="6" t="s">
        <v>456</v>
      </c>
      <c r="O50" s="6" t="s">
        <v>65</v>
      </c>
      <c r="P50" s="6" t="s">
        <v>388</v>
      </c>
      <c r="Q50" s="6" t="s">
        <v>457</v>
      </c>
      <c r="R50" s="6" t="s">
        <v>66</v>
      </c>
      <c r="S50" s="6" t="s">
        <v>389</v>
      </c>
      <c r="T50" s="6" t="s">
        <v>68</v>
      </c>
      <c r="U50" s="6" t="s">
        <v>65</v>
      </c>
      <c r="V50" s="6" t="s">
        <v>65</v>
      </c>
      <c r="W50" s="6" t="s">
        <v>70</v>
      </c>
      <c r="X50" s="7"/>
      <c r="Y50" s="6" t="s">
        <v>65</v>
      </c>
      <c r="Z50" s="6" t="s">
        <v>65</v>
      </c>
      <c r="AA50" s="6" t="s">
        <v>65</v>
      </c>
      <c r="AB50" s="8">
        <v>0</v>
      </c>
      <c r="AC50" s="7"/>
      <c r="AD50" s="7"/>
      <c r="AE50" s="7"/>
      <c r="AF50" s="7"/>
      <c r="AG50" s="6" t="s">
        <v>273</v>
      </c>
      <c r="AH50" s="6" t="s">
        <v>428</v>
      </c>
      <c r="AI50" s="6" t="s">
        <v>458</v>
      </c>
      <c r="AJ50" s="7"/>
      <c r="AK50" s="6" t="s">
        <v>65</v>
      </c>
      <c r="AL50" s="6" t="s">
        <v>65</v>
      </c>
      <c r="AM50" s="6" t="s">
        <v>65</v>
      </c>
      <c r="AN50" s="9">
        <v>0</v>
      </c>
      <c r="AO50" s="9">
        <v>0</v>
      </c>
      <c r="AP50" s="6" t="s">
        <v>428</v>
      </c>
      <c r="AQ50" s="8">
        <v>0</v>
      </c>
      <c r="AR50" s="7"/>
      <c r="AS50" s="6" t="s">
        <v>65</v>
      </c>
      <c r="AT50" s="6" t="s">
        <v>65</v>
      </c>
      <c r="AU50" s="6" t="s">
        <v>459</v>
      </c>
    </row>
    <row r="51" spans="1:47">
      <c r="A51" t="str">
        <f t="shared" si="0"/>
        <v>KIR-997</v>
      </c>
      <c r="B51" s="5" t="s">
        <v>52</v>
      </c>
      <c r="C51" s="6" t="s">
        <v>55</v>
      </c>
      <c r="D51" s="7">
        <v>46234</v>
      </c>
      <c r="E51" s="7">
        <v>2958465</v>
      </c>
      <c r="F51" s="6" t="s">
        <v>460</v>
      </c>
      <c r="G51" s="6" t="s">
        <v>55</v>
      </c>
      <c r="H51" s="6" t="s">
        <v>56</v>
      </c>
      <c r="I51" s="6" t="s">
        <v>57</v>
      </c>
      <c r="J51" s="6" t="s">
        <v>58</v>
      </c>
      <c r="K51" s="6" t="s">
        <v>384</v>
      </c>
      <c r="L51" s="6" t="s">
        <v>461</v>
      </c>
      <c r="M51" s="6" t="s">
        <v>462</v>
      </c>
      <c r="N51" s="6" t="s">
        <v>463</v>
      </c>
      <c r="O51" s="6" t="s">
        <v>65</v>
      </c>
      <c r="P51" s="6" t="s">
        <v>388</v>
      </c>
      <c r="Q51" s="6" t="s">
        <v>457</v>
      </c>
      <c r="R51" s="6" t="s">
        <v>66</v>
      </c>
      <c r="S51" s="6" t="s">
        <v>389</v>
      </c>
      <c r="T51" s="6" t="s">
        <v>68</v>
      </c>
      <c r="U51" s="6" t="s">
        <v>65</v>
      </c>
      <c r="V51" s="6" t="s">
        <v>65</v>
      </c>
      <c r="W51" s="6" t="s">
        <v>70</v>
      </c>
      <c r="X51" s="7"/>
      <c r="Y51" s="6" t="s">
        <v>65</v>
      </c>
      <c r="Z51" s="6" t="s">
        <v>65</v>
      </c>
      <c r="AA51" s="6" t="s">
        <v>65</v>
      </c>
      <c r="AB51" s="8">
        <v>0</v>
      </c>
      <c r="AC51" s="7"/>
      <c r="AD51" s="7"/>
      <c r="AE51" s="7"/>
      <c r="AF51" s="7"/>
      <c r="AG51" s="6" t="s">
        <v>273</v>
      </c>
      <c r="AH51" s="6" t="s">
        <v>428</v>
      </c>
      <c r="AI51" s="6" t="s">
        <v>429</v>
      </c>
      <c r="AJ51" s="7"/>
      <c r="AK51" s="6" t="s">
        <v>65</v>
      </c>
      <c r="AL51" s="6" t="s">
        <v>65</v>
      </c>
      <c r="AM51" s="6" t="s">
        <v>65</v>
      </c>
      <c r="AN51" s="9">
        <v>0</v>
      </c>
      <c r="AO51" s="9">
        <v>0</v>
      </c>
      <c r="AP51" s="6" t="s">
        <v>428</v>
      </c>
      <c r="AQ51" s="8">
        <v>0</v>
      </c>
      <c r="AR51" s="7"/>
      <c r="AS51" s="6" t="s">
        <v>65</v>
      </c>
      <c r="AT51" s="6" t="s">
        <v>65</v>
      </c>
      <c r="AU51" s="6" t="s">
        <v>464</v>
      </c>
    </row>
    <row r="52" spans="1:47">
      <c r="A52" t="str">
        <f t="shared" si="0"/>
        <v>AKT-003</v>
      </c>
      <c r="B52" s="5" t="s">
        <v>52</v>
      </c>
      <c r="C52" s="6" t="s">
        <v>53</v>
      </c>
      <c r="D52" s="7">
        <v>46261</v>
      </c>
      <c r="E52" s="7">
        <v>2958465</v>
      </c>
      <c r="F52" s="6" t="s">
        <v>465</v>
      </c>
      <c r="G52" s="6" t="s">
        <v>55</v>
      </c>
      <c r="H52" s="6" t="s">
        <v>56</v>
      </c>
      <c r="I52" s="6" t="s">
        <v>57</v>
      </c>
      <c r="J52" s="6" t="s">
        <v>58</v>
      </c>
      <c r="K52" s="6" t="s">
        <v>466</v>
      </c>
      <c r="L52" s="6" t="s">
        <v>467</v>
      </c>
      <c r="M52" s="6" t="s">
        <v>468</v>
      </c>
      <c r="N52" s="6" t="s">
        <v>469</v>
      </c>
      <c r="O52" s="6" t="s">
        <v>470</v>
      </c>
      <c r="P52" s="6" t="s">
        <v>471</v>
      </c>
      <c r="Q52" s="6" t="s">
        <v>472</v>
      </c>
      <c r="R52" s="6" t="s">
        <v>66</v>
      </c>
      <c r="S52" s="6" t="s">
        <v>473</v>
      </c>
      <c r="T52" s="6" t="s">
        <v>68</v>
      </c>
      <c r="U52" s="6" t="s">
        <v>474</v>
      </c>
      <c r="V52" s="6" t="s">
        <v>140</v>
      </c>
      <c r="W52" s="6" t="s">
        <v>70</v>
      </c>
      <c r="X52" s="7"/>
      <c r="Y52" s="6" t="s">
        <v>65</v>
      </c>
      <c r="Z52" s="6" t="s">
        <v>71</v>
      </c>
      <c r="AA52" s="6" t="s">
        <v>71</v>
      </c>
      <c r="AB52" s="8">
        <v>45000</v>
      </c>
      <c r="AC52" s="7">
        <v>45851</v>
      </c>
      <c r="AD52" s="7">
        <v>45911</v>
      </c>
      <c r="AE52" s="7">
        <v>46216</v>
      </c>
      <c r="AF52" s="7">
        <v>46276</v>
      </c>
      <c r="AG52" s="6" t="s">
        <v>72</v>
      </c>
      <c r="AH52" s="6" t="s">
        <v>73</v>
      </c>
      <c r="AI52" s="6" t="s">
        <v>475</v>
      </c>
      <c r="AJ52" s="7">
        <v>46314</v>
      </c>
      <c r="AK52" s="6" t="s">
        <v>74</v>
      </c>
      <c r="AL52" s="6" t="s">
        <v>476</v>
      </c>
      <c r="AM52" s="6" t="s">
        <v>477</v>
      </c>
      <c r="AN52" s="9">
        <v>17985.990000000002</v>
      </c>
      <c r="AO52" s="9">
        <v>16625.009999999998</v>
      </c>
      <c r="AP52" s="6" t="s">
        <v>73</v>
      </c>
      <c r="AQ52" s="8">
        <v>750000</v>
      </c>
      <c r="AR52" s="7">
        <v>45183</v>
      </c>
      <c r="AS52" s="6" t="s">
        <v>77</v>
      </c>
      <c r="AT52" s="6" t="s">
        <v>77</v>
      </c>
      <c r="AU52" s="6" t="s">
        <v>478</v>
      </c>
    </row>
    <row r="53" spans="1:47">
      <c r="A53" t="str">
        <f t="shared" si="0"/>
        <v>ARZ-003</v>
      </c>
      <c r="B53" s="5" t="s">
        <v>52</v>
      </c>
      <c r="C53" s="6" t="s">
        <v>53</v>
      </c>
      <c r="D53" s="7">
        <v>46129</v>
      </c>
      <c r="E53" s="7">
        <v>2958465</v>
      </c>
      <c r="F53" s="6" t="s">
        <v>479</v>
      </c>
      <c r="G53" s="6" t="s">
        <v>55</v>
      </c>
      <c r="H53" s="6" t="s">
        <v>56</v>
      </c>
      <c r="I53" s="6" t="s">
        <v>57</v>
      </c>
      <c r="J53" s="6" t="s">
        <v>58</v>
      </c>
      <c r="K53" s="6" t="s">
        <v>466</v>
      </c>
      <c r="L53" s="6" t="s">
        <v>480</v>
      </c>
      <c r="M53" s="6" t="s">
        <v>481</v>
      </c>
      <c r="N53" s="6" t="s">
        <v>482</v>
      </c>
      <c r="O53" s="6" t="s">
        <v>483</v>
      </c>
      <c r="P53" s="6" t="s">
        <v>484</v>
      </c>
      <c r="Q53" s="6" t="s">
        <v>298</v>
      </c>
      <c r="R53" s="6" t="s">
        <v>66</v>
      </c>
      <c r="S53" s="6" t="s">
        <v>485</v>
      </c>
      <c r="T53" s="6" t="s">
        <v>68</v>
      </c>
      <c r="U53" s="6" t="s">
        <v>486</v>
      </c>
      <c r="V53" s="6" t="s">
        <v>487</v>
      </c>
      <c r="W53" s="6" t="s">
        <v>488</v>
      </c>
      <c r="X53" s="7"/>
      <c r="Y53" s="6" t="s">
        <v>65</v>
      </c>
      <c r="Z53" s="6" t="s">
        <v>71</v>
      </c>
      <c r="AA53" s="6" t="s">
        <v>71</v>
      </c>
      <c r="AB53" s="8">
        <v>55000</v>
      </c>
      <c r="AC53" s="7">
        <v>45859</v>
      </c>
      <c r="AD53" s="7">
        <v>45911</v>
      </c>
      <c r="AE53" s="7">
        <v>46224</v>
      </c>
      <c r="AF53" s="7">
        <v>46276</v>
      </c>
      <c r="AG53" s="6" t="s">
        <v>72</v>
      </c>
      <c r="AH53" s="6" t="s">
        <v>73</v>
      </c>
      <c r="AI53" s="6" t="s">
        <v>489</v>
      </c>
      <c r="AJ53" s="7">
        <v>46543</v>
      </c>
      <c r="AK53" s="6" t="s">
        <v>74</v>
      </c>
      <c r="AL53" s="6" t="s">
        <v>490</v>
      </c>
      <c r="AM53" s="6" t="s">
        <v>491</v>
      </c>
      <c r="AN53" s="9">
        <v>12299</v>
      </c>
      <c r="AO53" s="9">
        <v>29044.15</v>
      </c>
      <c r="AP53" s="6" t="s">
        <v>73</v>
      </c>
      <c r="AQ53" s="8">
        <v>1650000</v>
      </c>
      <c r="AR53" s="7">
        <v>45189</v>
      </c>
      <c r="AS53" s="6" t="s">
        <v>77</v>
      </c>
      <c r="AT53" s="6" t="s">
        <v>77</v>
      </c>
      <c r="AU53" s="6" t="s">
        <v>492</v>
      </c>
    </row>
    <row r="54" spans="1:47">
      <c r="A54" t="str">
        <f t="shared" si="0"/>
        <v>ARZ-008</v>
      </c>
      <c r="B54" s="5" t="s">
        <v>52</v>
      </c>
      <c r="C54" s="6" t="s">
        <v>53</v>
      </c>
      <c r="D54" s="7">
        <v>46233</v>
      </c>
      <c r="E54" s="7">
        <v>2958465</v>
      </c>
      <c r="F54" s="6" t="s">
        <v>493</v>
      </c>
      <c r="G54" s="6" t="s">
        <v>55</v>
      </c>
      <c r="H54" s="6" t="s">
        <v>56</v>
      </c>
      <c r="I54" s="6" t="s">
        <v>57</v>
      </c>
      <c r="J54" s="6" t="s">
        <v>58</v>
      </c>
      <c r="K54" s="6" t="s">
        <v>466</v>
      </c>
      <c r="L54" s="6" t="s">
        <v>494</v>
      </c>
      <c r="M54" s="6" t="s">
        <v>495</v>
      </c>
      <c r="N54" s="6" t="s">
        <v>496</v>
      </c>
      <c r="O54" s="6" t="s">
        <v>497</v>
      </c>
      <c r="P54" s="6" t="s">
        <v>484</v>
      </c>
      <c r="Q54" s="6" t="s">
        <v>298</v>
      </c>
      <c r="R54" s="6" t="s">
        <v>66</v>
      </c>
      <c r="S54" s="6" t="s">
        <v>485</v>
      </c>
      <c r="T54" s="6" t="s">
        <v>68</v>
      </c>
      <c r="U54" s="6" t="s">
        <v>498</v>
      </c>
      <c r="V54" s="6" t="s">
        <v>499</v>
      </c>
      <c r="W54" s="6" t="s">
        <v>500</v>
      </c>
      <c r="X54" s="7"/>
      <c r="Y54" s="6" t="s">
        <v>65</v>
      </c>
      <c r="Z54" s="6" t="s">
        <v>71</v>
      </c>
      <c r="AA54" s="6" t="s">
        <v>71</v>
      </c>
      <c r="AB54" s="8">
        <v>55000</v>
      </c>
      <c r="AC54" s="7">
        <v>45797</v>
      </c>
      <c r="AD54" s="7">
        <v>45911</v>
      </c>
      <c r="AE54" s="7">
        <v>46162</v>
      </c>
      <c r="AF54" s="7">
        <v>46276</v>
      </c>
      <c r="AG54" s="6" t="s">
        <v>72</v>
      </c>
      <c r="AH54" s="6" t="s">
        <v>73</v>
      </c>
      <c r="AI54" s="6" t="s">
        <v>501</v>
      </c>
      <c r="AJ54" s="7">
        <v>46596</v>
      </c>
      <c r="AK54" s="6" t="s">
        <v>74</v>
      </c>
      <c r="AL54" s="6" t="s">
        <v>502</v>
      </c>
      <c r="AM54" s="6" t="s">
        <v>503</v>
      </c>
      <c r="AN54" s="9">
        <v>11707</v>
      </c>
      <c r="AO54" s="9">
        <v>31419.16</v>
      </c>
      <c r="AP54" s="6" t="s">
        <v>73</v>
      </c>
      <c r="AQ54" s="8">
        <v>1650000</v>
      </c>
      <c r="AR54" s="7">
        <v>45189</v>
      </c>
      <c r="AS54" s="6" t="s">
        <v>77</v>
      </c>
      <c r="AT54" s="6" t="s">
        <v>77</v>
      </c>
      <c r="AU54" s="6" t="s">
        <v>504</v>
      </c>
    </row>
    <row r="55" spans="1:47">
      <c r="A55" t="str">
        <f t="shared" si="0"/>
        <v>BKM-006</v>
      </c>
      <c r="B55" s="5" t="s">
        <v>52</v>
      </c>
      <c r="C55" s="6" t="s">
        <v>53</v>
      </c>
      <c r="D55" s="7">
        <v>46265</v>
      </c>
      <c r="E55" s="7">
        <v>2958465</v>
      </c>
      <c r="F55" s="6" t="s">
        <v>505</v>
      </c>
      <c r="G55" s="6" t="s">
        <v>93</v>
      </c>
      <c r="H55" s="6" t="s">
        <v>94</v>
      </c>
      <c r="I55" s="6" t="s">
        <v>95</v>
      </c>
      <c r="J55" s="6" t="s">
        <v>96</v>
      </c>
      <c r="K55" s="6" t="s">
        <v>466</v>
      </c>
      <c r="L55" s="6" t="s">
        <v>506</v>
      </c>
      <c r="M55" s="6" t="s">
        <v>507</v>
      </c>
      <c r="N55" s="6" t="s">
        <v>508</v>
      </c>
      <c r="O55" s="6" t="s">
        <v>509</v>
      </c>
      <c r="P55" s="6" t="s">
        <v>121</v>
      </c>
      <c r="Q55" s="6" t="s">
        <v>298</v>
      </c>
      <c r="R55" s="6" t="s">
        <v>66</v>
      </c>
      <c r="S55" s="6" t="s">
        <v>510</v>
      </c>
      <c r="T55" s="6" t="s">
        <v>68</v>
      </c>
      <c r="U55" s="6" t="s">
        <v>511</v>
      </c>
      <c r="V55" s="6" t="s">
        <v>140</v>
      </c>
      <c r="W55" s="6" t="s">
        <v>70</v>
      </c>
      <c r="X55" s="7"/>
      <c r="Y55" s="6" t="s">
        <v>65</v>
      </c>
      <c r="Z55" s="6" t="s">
        <v>71</v>
      </c>
      <c r="AA55" s="6" t="s">
        <v>71</v>
      </c>
      <c r="AB55" s="8">
        <v>60000</v>
      </c>
      <c r="AC55" s="7">
        <v>45911</v>
      </c>
      <c r="AD55" s="7">
        <v>45911</v>
      </c>
      <c r="AE55" s="7">
        <v>46276</v>
      </c>
      <c r="AF55" s="7">
        <v>46276</v>
      </c>
      <c r="AG55" s="6" t="s">
        <v>72</v>
      </c>
      <c r="AH55" s="6" t="s">
        <v>73</v>
      </c>
      <c r="AI55" s="6" t="s">
        <v>512</v>
      </c>
      <c r="AJ55" s="7">
        <v>46545</v>
      </c>
      <c r="AK55" s="6" t="s">
        <v>74</v>
      </c>
      <c r="AL55" s="6" t="s">
        <v>513</v>
      </c>
      <c r="AM55" s="6" t="s">
        <v>514</v>
      </c>
      <c r="AN55" s="9">
        <v>22400.99</v>
      </c>
      <c r="AO55" s="9">
        <v>33250.01</v>
      </c>
      <c r="AP55" s="6" t="s">
        <v>73</v>
      </c>
      <c r="AQ55" s="8">
        <v>800000</v>
      </c>
      <c r="AR55" s="7"/>
      <c r="AS55" s="6" t="s">
        <v>77</v>
      </c>
      <c r="AT55" s="6" t="s">
        <v>77</v>
      </c>
      <c r="AU55" s="6" t="s">
        <v>515</v>
      </c>
    </row>
    <row r="56" spans="1:47">
      <c r="A56" t="str">
        <f t="shared" si="0"/>
        <v>BTP-001</v>
      </c>
      <c r="B56" s="5" t="s">
        <v>52</v>
      </c>
      <c r="C56" s="6" t="s">
        <v>53</v>
      </c>
      <c r="D56" s="7">
        <v>46251</v>
      </c>
      <c r="E56" s="7">
        <v>2958465</v>
      </c>
      <c r="F56" s="6" t="s">
        <v>516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466</v>
      </c>
      <c r="L56" s="6" t="s">
        <v>517</v>
      </c>
      <c r="M56" s="6" t="s">
        <v>518</v>
      </c>
      <c r="N56" s="6" t="s">
        <v>519</v>
      </c>
      <c r="O56" s="6" t="s">
        <v>520</v>
      </c>
      <c r="P56" s="6" t="s">
        <v>521</v>
      </c>
      <c r="Q56" s="6" t="s">
        <v>298</v>
      </c>
      <c r="R56" s="6" t="s">
        <v>66</v>
      </c>
      <c r="S56" s="6" t="s">
        <v>522</v>
      </c>
      <c r="T56" s="6" t="s">
        <v>68</v>
      </c>
      <c r="U56" s="6" t="s">
        <v>523</v>
      </c>
      <c r="V56" s="6" t="s">
        <v>487</v>
      </c>
      <c r="W56" s="6" t="s">
        <v>524</v>
      </c>
      <c r="X56" s="7"/>
      <c r="Y56" s="6" t="s">
        <v>65</v>
      </c>
      <c r="Z56" s="6" t="s">
        <v>71</v>
      </c>
      <c r="AA56" s="6" t="s">
        <v>71</v>
      </c>
      <c r="AB56" s="8">
        <v>500000</v>
      </c>
      <c r="AC56" s="7">
        <v>45973</v>
      </c>
      <c r="AD56" s="7">
        <v>45911</v>
      </c>
      <c r="AE56" s="7">
        <v>46338</v>
      </c>
      <c r="AF56" s="7">
        <v>46276</v>
      </c>
      <c r="AG56" s="6" t="s">
        <v>72</v>
      </c>
      <c r="AH56" s="6" t="s">
        <v>73</v>
      </c>
      <c r="AI56" s="6" t="s">
        <v>525</v>
      </c>
      <c r="AJ56" s="7">
        <v>46333</v>
      </c>
      <c r="AK56" s="6" t="s">
        <v>74</v>
      </c>
      <c r="AL56" s="6" t="s">
        <v>526</v>
      </c>
      <c r="AM56" s="6" t="s">
        <v>527</v>
      </c>
      <c r="AN56" s="9">
        <v>24292.02</v>
      </c>
      <c r="AO56" s="9">
        <v>138116.68</v>
      </c>
      <c r="AP56" s="6" t="s">
        <v>73</v>
      </c>
      <c r="AQ56" s="8">
        <v>9500000</v>
      </c>
      <c r="AR56" s="7">
        <v>45183</v>
      </c>
      <c r="AS56" s="6" t="s">
        <v>77</v>
      </c>
      <c r="AT56" s="6" t="s">
        <v>77</v>
      </c>
      <c r="AU56" s="6" t="s">
        <v>528</v>
      </c>
    </row>
    <row r="57" spans="1:47">
      <c r="A57" t="str">
        <f t="shared" si="0"/>
        <v>BTP-002</v>
      </c>
      <c r="B57" s="5" t="s">
        <v>52</v>
      </c>
      <c r="C57" s="6" t="s">
        <v>53</v>
      </c>
      <c r="D57" s="7">
        <v>46132</v>
      </c>
      <c r="E57" s="7">
        <v>2958465</v>
      </c>
      <c r="F57" s="6" t="s">
        <v>529</v>
      </c>
      <c r="G57" s="6" t="s">
        <v>55</v>
      </c>
      <c r="H57" s="6" t="s">
        <v>56</v>
      </c>
      <c r="I57" s="6" t="s">
        <v>57</v>
      </c>
      <c r="J57" s="6" t="s">
        <v>58</v>
      </c>
      <c r="K57" s="6" t="s">
        <v>466</v>
      </c>
      <c r="L57" s="6" t="s">
        <v>530</v>
      </c>
      <c r="M57" s="6" t="s">
        <v>531</v>
      </c>
      <c r="N57" s="6" t="s">
        <v>519</v>
      </c>
      <c r="O57" s="6" t="s">
        <v>532</v>
      </c>
      <c r="P57" s="6" t="s">
        <v>521</v>
      </c>
      <c r="Q57" s="6" t="s">
        <v>85</v>
      </c>
      <c r="R57" s="6" t="s">
        <v>66</v>
      </c>
      <c r="S57" s="6" t="s">
        <v>522</v>
      </c>
      <c r="T57" s="6" t="s">
        <v>68</v>
      </c>
      <c r="U57" s="6" t="s">
        <v>533</v>
      </c>
      <c r="V57" s="6" t="s">
        <v>65</v>
      </c>
      <c r="W57" s="6" t="s">
        <v>70</v>
      </c>
      <c r="X57" s="7"/>
      <c r="Y57" s="6" t="s">
        <v>65</v>
      </c>
      <c r="Z57" s="6" t="s">
        <v>71</v>
      </c>
      <c r="AA57" s="6" t="s">
        <v>71</v>
      </c>
      <c r="AB57" s="8">
        <v>550000</v>
      </c>
      <c r="AC57" s="7">
        <v>46143</v>
      </c>
      <c r="AD57" s="7">
        <v>45911</v>
      </c>
      <c r="AE57" s="7">
        <v>46506</v>
      </c>
      <c r="AF57" s="7">
        <v>46276</v>
      </c>
      <c r="AG57" s="6" t="s">
        <v>72</v>
      </c>
      <c r="AH57" s="6" t="s">
        <v>73</v>
      </c>
      <c r="AI57" s="6" t="s">
        <v>534</v>
      </c>
      <c r="AJ57" s="7">
        <v>46569</v>
      </c>
      <c r="AK57" s="6" t="s">
        <v>74</v>
      </c>
      <c r="AL57" s="6" t="s">
        <v>535</v>
      </c>
      <c r="AM57" s="6" t="s">
        <v>536</v>
      </c>
      <c r="AN57" s="9">
        <v>39508.019999999997</v>
      </c>
      <c r="AO57" s="9">
        <v>148685.29</v>
      </c>
      <c r="AP57" s="6" t="s">
        <v>73</v>
      </c>
      <c r="AQ57" s="8">
        <v>6250000</v>
      </c>
      <c r="AR57" s="7">
        <v>45371</v>
      </c>
      <c r="AS57" s="6" t="s">
        <v>77</v>
      </c>
      <c r="AT57" s="6" t="s">
        <v>77</v>
      </c>
      <c r="AU57" s="6" t="s">
        <v>537</v>
      </c>
    </row>
    <row r="58" spans="1:47">
      <c r="A58" t="str">
        <f t="shared" si="0"/>
        <v>DK-040</v>
      </c>
      <c r="B58" s="5" t="s">
        <v>52</v>
      </c>
      <c r="C58" s="6" t="s">
        <v>53</v>
      </c>
      <c r="D58" s="7">
        <v>46265</v>
      </c>
      <c r="E58" s="7">
        <v>2958465</v>
      </c>
      <c r="F58" s="6" t="s">
        <v>538</v>
      </c>
      <c r="G58" s="6" t="s">
        <v>93</v>
      </c>
      <c r="H58" s="6" t="s">
        <v>94</v>
      </c>
      <c r="I58" s="6" t="s">
        <v>95</v>
      </c>
      <c r="J58" s="6" t="s">
        <v>96</v>
      </c>
      <c r="K58" s="6" t="s">
        <v>466</v>
      </c>
      <c r="L58" s="6" t="s">
        <v>539</v>
      </c>
      <c r="M58" s="6" t="s">
        <v>540</v>
      </c>
      <c r="N58" s="6" t="s">
        <v>541</v>
      </c>
      <c r="O58" s="6" t="s">
        <v>542</v>
      </c>
      <c r="P58" s="6" t="s">
        <v>521</v>
      </c>
      <c r="Q58" s="6" t="s">
        <v>457</v>
      </c>
      <c r="R58" s="6" t="s">
        <v>66</v>
      </c>
      <c r="S58" s="6" t="s">
        <v>485</v>
      </c>
      <c r="T58" s="6" t="s">
        <v>68</v>
      </c>
      <c r="U58" s="6" t="s">
        <v>543</v>
      </c>
      <c r="V58" s="6" t="s">
        <v>544</v>
      </c>
      <c r="W58" s="6" t="s">
        <v>545</v>
      </c>
      <c r="X58" s="7"/>
      <c r="Y58" s="6" t="s">
        <v>65</v>
      </c>
      <c r="Z58" s="6" t="s">
        <v>71</v>
      </c>
      <c r="AA58" s="6" t="s">
        <v>71</v>
      </c>
      <c r="AB58" s="8">
        <v>250000</v>
      </c>
      <c r="AC58" s="7">
        <v>46143</v>
      </c>
      <c r="AD58" s="7">
        <v>45911</v>
      </c>
      <c r="AE58" s="7">
        <v>46503</v>
      </c>
      <c r="AF58" s="7">
        <v>46276</v>
      </c>
      <c r="AG58" s="6" t="s">
        <v>72</v>
      </c>
      <c r="AH58" s="6" t="s">
        <v>73</v>
      </c>
      <c r="AI58" s="6" t="s">
        <v>546</v>
      </c>
      <c r="AJ58" s="7">
        <v>46585</v>
      </c>
      <c r="AK58" s="6" t="s">
        <v>74</v>
      </c>
      <c r="AL58" s="6" t="s">
        <v>547</v>
      </c>
      <c r="AM58" s="6" t="s">
        <v>548</v>
      </c>
      <c r="AN58" s="9">
        <v>29630.98</v>
      </c>
      <c r="AO58" s="9">
        <v>42132.02</v>
      </c>
      <c r="AP58" s="6" t="s">
        <v>73</v>
      </c>
      <c r="AQ58" s="8">
        <v>2600000</v>
      </c>
      <c r="AR58" s="7">
        <v>45183</v>
      </c>
      <c r="AS58" s="6" t="s">
        <v>77</v>
      </c>
      <c r="AT58" s="6" t="s">
        <v>77</v>
      </c>
      <c r="AU58" s="6" t="s">
        <v>549</v>
      </c>
    </row>
    <row r="59" spans="1:47">
      <c r="A59" t="str">
        <f t="shared" si="0"/>
        <v>DK-150</v>
      </c>
      <c r="B59" s="5" t="s">
        <v>52</v>
      </c>
      <c r="C59" s="6" t="s">
        <v>53</v>
      </c>
      <c r="D59" s="7">
        <v>46119</v>
      </c>
      <c r="E59" s="7">
        <v>2958465</v>
      </c>
      <c r="F59" s="6" t="s">
        <v>550</v>
      </c>
      <c r="G59" s="6" t="s">
        <v>55</v>
      </c>
      <c r="H59" s="6" t="s">
        <v>56</v>
      </c>
      <c r="I59" s="6" t="s">
        <v>57</v>
      </c>
      <c r="J59" s="6" t="s">
        <v>58</v>
      </c>
      <c r="K59" s="6" t="s">
        <v>466</v>
      </c>
      <c r="L59" s="6" t="s">
        <v>551</v>
      </c>
      <c r="M59" s="6" t="s">
        <v>552</v>
      </c>
      <c r="N59" s="6" t="s">
        <v>553</v>
      </c>
      <c r="O59" s="6" t="s">
        <v>554</v>
      </c>
      <c r="P59" s="6" t="s">
        <v>521</v>
      </c>
      <c r="Q59" s="6" t="s">
        <v>172</v>
      </c>
      <c r="R59" s="6" t="s">
        <v>66</v>
      </c>
      <c r="S59" s="6" t="s">
        <v>555</v>
      </c>
      <c r="T59" s="6" t="s">
        <v>68</v>
      </c>
      <c r="U59" s="6" t="s">
        <v>556</v>
      </c>
      <c r="V59" s="6" t="s">
        <v>140</v>
      </c>
      <c r="W59" s="6" t="s">
        <v>70</v>
      </c>
      <c r="X59" s="7">
        <v>45350</v>
      </c>
      <c r="Y59" s="6" t="s">
        <v>65</v>
      </c>
      <c r="Z59" s="6" t="s">
        <v>71</v>
      </c>
      <c r="AA59" s="6" t="s">
        <v>71</v>
      </c>
      <c r="AB59" s="8">
        <v>250000</v>
      </c>
      <c r="AC59" s="7">
        <v>46143</v>
      </c>
      <c r="AD59" s="7">
        <v>45911</v>
      </c>
      <c r="AE59" s="7">
        <v>46486</v>
      </c>
      <c r="AF59" s="7">
        <v>46276</v>
      </c>
      <c r="AG59" s="6" t="s">
        <v>72</v>
      </c>
      <c r="AH59" s="6" t="s">
        <v>73</v>
      </c>
      <c r="AI59" s="6" t="s">
        <v>557</v>
      </c>
      <c r="AJ59" s="7">
        <v>46351</v>
      </c>
      <c r="AK59" s="6" t="s">
        <v>74</v>
      </c>
      <c r="AL59" s="6" t="s">
        <v>558</v>
      </c>
      <c r="AM59" s="6" t="s">
        <v>559</v>
      </c>
      <c r="AN59" s="9">
        <v>29630.98</v>
      </c>
      <c r="AO59" s="9">
        <v>59469.599999999999</v>
      </c>
      <c r="AP59" s="6" t="s">
        <v>128</v>
      </c>
      <c r="AQ59" s="8">
        <v>4450000</v>
      </c>
      <c r="AR59" s="7">
        <v>45183</v>
      </c>
      <c r="AS59" s="6" t="s">
        <v>77</v>
      </c>
      <c r="AT59" s="6" t="s">
        <v>77</v>
      </c>
      <c r="AU59" s="6" t="s">
        <v>560</v>
      </c>
    </row>
    <row r="60" spans="1:47">
      <c r="A60" t="str">
        <f t="shared" si="0"/>
        <v>DK-271</v>
      </c>
      <c r="B60" s="5" t="s">
        <v>52</v>
      </c>
      <c r="C60" s="6" t="s">
        <v>53</v>
      </c>
      <c r="D60" s="7">
        <v>46139</v>
      </c>
      <c r="E60" s="7">
        <v>2958465</v>
      </c>
      <c r="F60" s="6" t="s">
        <v>561</v>
      </c>
      <c r="G60" s="6" t="s">
        <v>55</v>
      </c>
      <c r="H60" s="6" t="s">
        <v>56</v>
      </c>
      <c r="I60" s="6" t="s">
        <v>57</v>
      </c>
      <c r="J60" s="6" t="s">
        <v>58</v>
      </c>
      <c r="K60" s="6" t="s">
        <v>466</v>
      </c>
      <c r="L60" s="6" t="s">
        <v>562</v>
      </c>
      <c r="M60" s="6" t="s">
        <v>563</v>
      </c>
      <c r="N60" s="6" t="s">
        <v>564</v>
      </c>
      <c r="O60" s="6" t="s">
        <v>565</v>
      </c>
      <c r="P60" s="6" t="s">
        <v>484</v>
      </c>
      <c r="Q60" s="6" t="s">
        <v>243</v>
      </c>
      <c r="R60" s="6" t="s">
        <v>66</v>
      </c>
      <c r="S60" s="6" t="s">
        <v>555</v>
      </c>
      <c r="T60" s="6" t="s">
        <v>68</v>
      </c>
      <c r="U60" s="6" t="s">
        <v>566</v>
      </c>
      <c r="V60" s="6" t="s">
        <v>65</v>
      </c>
      <c r="W60" s="6" t="s">
        <v>70</v>
      </c>
      <c r="X60" s="7"/>
      <c r="Y60" s="6" t="s">
        <v>65</v>
      </c>
      <c r="Z60" s="6" t="s">
        <v>71</v>
      </c>
      <c r="AA60" s="6" t="s">
        <v>71</v>
      </c>
      <c r="AB60" s="8">
        <v>250000</v>
      </c>
      <c r="AC60" s="7">
        <v>46102</v>
      </c>
      <c r="AD60" s="7">
        <v>45911</v>
      </c>
      <c r="AE60" s="7">
        <v>46467</v>
      </c>
      <c r="AF60" s="7">
        <v>46276</v>
      </c>
      <c r="AG60" s="6" t="s">
        <v>72</v>
      </c>
      <c r="AH60" s="6" t="s">
        <v>73</v>
      </c>
      <c r="AI60" s="6" t="s">
        <v>567</v>
      </c>
      <c r="AJ60" s="7">
        <v>46559</v>
      </c>
      <c r="AK60" s="6" t="s">
        <v>74</v>
      </c>
      <c r="AL60" s="6" t="s">
        <v>568</v>
      </c>
      <c r="AM60" s="6" t="s">
        <v>569</v>
      </c>
      <c r="AN60" s="9">
        <v>28838</v>
      </c>
      <c r="AO60" s="9">
        <v>47875.12</v>
      </c>
      <c r="AP60" s="6" t="s">
        <v>73</v>
      </c>
      <c r="AQ60" s="8">
        <v>2000000</v>
      </c>
      <c r="AR60" s="7">
        <v>45183</v>
      </c>
      <c r="AS60" s="6" t="s">
        <v>77</v>
      </c>
      <c r="AT60" s="6" t="s">
        <v>77</v>
      </c>
      <c r="AU60" s="6" t="s">
        <v>570</v>
      </c>
    </row>
    <row r="61" spans="1:47">
      <c r="A61" t="str">
        <f t="shared" si="0"/>
        <v>DK-393</v>
      </c>
      <c r="B61" s="5" t="s">
        <v>52</v>
      </c>
      <c r="C61" s="6" t="s">
        <v>53</v>
      </c>
      <c r="D61" s="7">
        <v>46176</v>
      </c>
      <c r="E61" s="7">
        <v>2958465</v>
      </c>
      <c r="F61" s="6" t="s">
        <v>571</v>
      </c>
      <c r="G61" s="6" t="s">
        <v>55</v>
      </c>
      <c r="H61" s="6" t="s">
        <v>56</v>
      </c>
      <c r="I61" s="6" t="s">
        <v>57</v>
      </c>
      <c r="J61" s="6" t="s">
        <v>58</v>
      </c>
      <c r="K61" s="6" t="s">
        <v>466</v>
      </c>
      <c r="L61" s="6" t="s">
        <v>572</v>
      </c>
      <c r="M61" s="6" t="s">
        <v>573</v>
      </c>
      <c r="N61" s="6" t="s">
        <v>574</v>
      </c>
      <c r="O61" s="6" t="s">
        <v>575</v>
      </c>
      <c r="P61" s="6" t="s">
        <v>121</v>
      </c>
      <c r="Q61" s="6" t="s">
        <v>110</v>
      </c>
      <c r="R61" s="6" t="s">
        <v>66</v>
      </c>
      <c r="S61" s="6" t="s">
        <v>555</v>
      </c>
      <c r="T61" s="6" t="s">
        <v>68</v>
      </c>
      <c r="U61" s="6" t="s">
        <v>576</v>
      </c>
      <c r="V61" s="6" t="s">
        <v>65</v>
      </c>
      <c r="W61" s="6" t="s">
        <v>70</v>
      </c>
      <c r="X61" s="7"/>
      <c r="Y61" s="6" t="s">
        <v>65</v>
      </c>
      <c r="Z61" s="6" t="s">
        <v>71</v>
      </c>
      <c r="AA61" s="6" t="s">
        <v>71</v>
      </c>
      <c r="AB61" s="8">
        <v>250000</v>
      </c>
      <c r="AC61" s="7">
        <v>46147</v>
      </c>
      <c r="AD61" s="7">
        <v>46147</v>
      </c>
      <c r="AE61" s="7">
        <v>46512</v>
      </c>
      <c r="AF61" s="7">
        <v>46512</v>
      </c>
      <c r="AG61" s="6" t="s">
        <v>72</v>
      </c>
      <c r="AH61" s="6" t="s">
        <v>73</v>
      </c>
      <c r="AI61" s="6" t="s">
        <v>577</v>
      </c>
      <c r="AJ61" s="7">
        <v>46518</v>
      </c>
      <c r="AK61" s="6" t="s">
        <v>74</v>
      </c>
      <c r="AL61" s="6" t="s">
        <v>578</v>
      </c>
      <c r="AM61" s="6" t="s">
        <v>579</v>
      </c>
      <c r="AN61" s="9">
        <v>47150</v>
      </c>
      <c r="AO61" s="9">
        <v>87499.98</v>
      </c>
      <c r="AP61" s="6" t="s">
        <v>580</v>
      </c>
      <c r="AQ61" s="8">
        <v>7290000</v>
      </c>
      <c r="AR61" s="7"/>
      <c r="AS61" s="6" t="s">
        <v>77</v>
      </c>
      <c r="AT61" s="6" t="s">
        <v>77</v>
      </c>
      <c r="AU61" s="6" t="s">
        <v>581</v>
      </c>
    </row>
    <row r="62" spans="1:47">
      <c r="A62" t="str">
        <f t="shared" si="0"/>
        <v>DK-400</v>
      </c>
      <c r="B62" s="5" t="s">
        <v>52</v>
      </c>
      <c r="C62" s="6" t="s">
        <v>53</v>
      </c>
      <c r="D62" s="7">
        <v>46253</v>
      </c>
      <c r="E62" s="7">
        <v>2958465</v>
      </c>
      <c r="F62" s="6" t="s">
        <v>582</v>
      </c>
      <c r="G62" s="6" t="s">
        <v>93</v>
      </c>
      <c r="H62" s="6" t="s">
        <v>94</v>
      </c>
      <c r="I62" s="6" t="s">
        <v>95</v>
      </c>
      <c r="J62" s="6" t="s">
        <v>96</v>
      </c>
      <c r="K62" s="6" t="s">
        <v>466</v>
      </c>
      <c r="L62" s="6" t="s">
        <v>583</v>
      </c>
      <c r="M62" s="6" t="s">
        <v>584</v>
      </c>
      <c r="N62" s="6" t="s">
        <v>574</v>
      </c>
      <c r="O62" s="6" t="s">
        <v>585</v>
      </c>
      <c r="P62" s="6" t="s">
        <v>586</v>
      </c>
      <c r="Q62" s="6" t="s">
        <v>110</v>
      </c>
      <c r="R62" s="6" t="s">
        <v>66</v>
      </c>
      <c r="S62" s="6" t="s">
        <v>555</v>
      </c>
      <c r="T62" s="6" t="s">
        <v>68</v>
      </c>
      <c r="U62" s="6" t="s">
        <v>587</v>
      </c>
      <c r="V62" s="6" t="s">
        <v>65</v>
      </c>
      <c r="W62" s="6" t="s">
        <v>70</v>
      </c>
      <c r="X62" s="7"/>
      <c r="Y62" s="6" t="s">
        <v>65</v>
      </c>
      <c r="Z62" s="6" t="s">
        <v>65</v>
      </c>
      <c r="AA62" s="6" t="s">
        <v>65</v>
      </c>
      <c r="AB62" s="8">
        <v>0</v>
      </c>
      <c r="AC62" s="7"/>
      <c r="AD62" s="7"/>
      <c r="AE62" s="7"/>
      <c r="AF62" s="7"/>
      <c r="AG62" s="6" t="s">
        <v>72</v>
      </c>
      <c r="AH62" s="6" t="s">
        <v>73</v>
      </c>
      <c r="AI62" s="6" t="s">
        <v>588</v>
      </c>
      <c r="AJ62" s="7">
        <v>46601</v>
      </c>
      <c r="AK62" s="6" t="s">
        <v>65</v>
      </c>
      <c r="AL62" s="6" t="s">
        <v>65</v>
      </c>
      <c r="AM62" s="6" t="s">
        <v>65</v>
      </c>
      <c r="AN62" s="9">
        <v>0</v>
      </c>
      <c r="AO62" s="9">
        <v>0</v>
      </c>
      <c r="AP62" s="6" t="s">
        <v>589</v>
      </c>
      <c r="AQ62" s="8">
        <v>7750000</v>
      </c>
      <c r="AR62" s="7">
        <v>46235</v>
      </c>
      <c r="AS62" s="6" t="s">
        <v>65</v>
      </c>
      <c r="AT62" s="6" t="s">
        <v>65</v>
      </c>
      <c r="AU62" s="6" t="s">
        <v>590</v>
      </c>
    </row>
    <row r="63" spans="1:47">
      <c r="A63" t="str">
        <f t="shared" si="0"/>
        <v>DK-401</v>
      </c>
      <c r="B63" s="5" t="s">
        <v>52</v>
      </c>
      <c r="C63" s="6" t="s">
        <v>53</v>
      </c>
      <c r="D63" s="7">
        <v>46253</v>
      </c>
      <c r="E63" s="7">
        <v>2958465</v>
      </c>
      <c r="F63" s="6" t="s">
        <v>591</v>
      </c>
      <c r="G63" s="6" t="s">
        <v>93</v>
      </c>
      <c r="H63" s="6" t="s">
        <v>94</v>
      </c>
      <c r="I63" s="6" t="s">
        <v>95</v>
      </c>
      <c r="J63" s="6" t="s">
        <v>96</v>
      </c>
      <c r="K63" s="6" t="s">
        <v>466</v>
      </c>
      <c r="L63" s="6" t="s">
        <v>592</v>
      </c>
      <c r="M63" s="6" t="s">
        <v>584</v>
      </c>
      <c r="N63" s="6" t="s">
        <v>574</v>
      </c>
      <c r="O63" s="6" t="s">
        <v>593</v>
      </c>
      <c r="P63" s="6" t="s">
        <v>586</v>
      </c>
      <c r="Q63" s="6" t="s">
        <v>110</v>
      </c>
      <c r="R63" s="6" t="s">
        <v>66</v>
      </c>
      <c r="S63" s="6" t="s">
        <v>555</v>
      </c>
      <c r="T63" s="6" t="s">
        <v>68</v>
      </c>
      <c r="U63" s="6" t="s">
        <v>594</v>
      </c>
      <c r="V63" s="6" t="s">
        <v>65</v>
      </c>
      <c r="W63" s="6" t="s">
        <v>70</v>
      </c>
      <c r="X63" s="7"/>
      <c r="Y63" s="6" t="s">
        <v>65</v>
      </c>
      <c r="Z63" s="6" t="s">
        <v>65</v>
      </c>
      <c r="AA63" s="6" t="s">
        <v>65</v>
      </c>
      <c r="AB63" s="8">
        <v>0</v>
      </c>
      <c r="AC63" s="7"/>
      <c r="AD63" s="7"/>
      <c r="AE63" s="7"/>
      <c r="AF63" s="7"/>
      <c r="AG63" s="6" t="s">
        <v>72</v>
      </c>
      <c r="AH63" s="6" t="s">
        <v>73</v>
      </c>
      <c r="AI63" s="6" t="s">
        <v>595</v>
      </c>
      <c r="AJ63" s="7">
        <v>46604</v>
      </c>
      <c r="AK63" s="6" t="s">
        <v>65</v>
      </c>
      <c r="AL63" s="6" t="s">
        <v>65</v>
      </c>
      <c r="AM63" s="6" t="s">
        <v>65</v>
      </c>
      <c r="AN63" s="9">
        <v>0</v>
      </c>
      <c r="AO63" s="9">
        <v>0</v>
      </c>
      <c r="AP63" s="6" t="s">
        <v>589</v>
      </c>
      <c r="AQ63" s="8">
        <v>7750000</v>
      </c>
      <c r="AR63" s="7">
        <v>46235</v>
      </c>
      <c r="AS63" s="6" t="s">
        <v>65</v>
      </c>
      <c r="AT63" s="6" t="s">
        <v>65</v>
      </c>
      <c r="AU63" s="6" t="s">
        <v>596</v>
      </c>
    </row>
    <row r="64" spans="1:47">
      <c r="A64" t="str">
        <f t="shared" si="0"/>
        <v>DK-402</v>
      </c>
      <c r="B64" s="5" t="s">
        <v>52</v>
      </c>
      <c r="C64" s="6" t="s">
        <v>53</v>
      </c>
      <c r="D64" s="7">
        <v>46253</v>
      </c>
      <c r="E64" s="7">
        <v>2958465</v>
      </c>
      <c r="F64" s="6" t="s">
        <v>597</v>
      </c>
      <c r="G64" s="6" t="s">
        <v>93</v>
      </c>
      <c r="H64" s="6" t="s">
        <v>94</v>
      </c>
      <c r="I64" s="6" t="s">
        <v>95</v>
      </c>
      <c r="J64" s="6" t="s">
        <v>96</v>
      </c>
      <c r="K64" s="6" t="s">
        <v>466</v>
      </c>
      <c r="L64" s="6" t="s">
        <v>598</v>
      </c>
      <c r="M64" s="6" t="s">
        <v>584</v>
      </c>
      <c r="N64" s="6" t="s">
        <v>574</v>
      </c>
      <c r="O64" s="6" t="s">
        <v>599</v>
      </c>
      <c r="P64" s="6" t="s">
        <v>586</v>
      </c>
      <c r="Q64" s="6" t="s">
        <v>110</v>
      </c>
      <c r="R64" s="6" t="s">
        <v>66</v>
      </c>
      <c r="S64" s="6" t="s">
        <v>555</v>
      </c>
      <c r="T64" s="6" t="s">
        <v>68</v>
      </c>
      <c r="U64" s="6" t="s">
        <v>600</v>
      </c>
      <c r="V64" s="6" t="s">
        <v>65</v>
      </c>
      <c r="W64" s="6" t="s">
        <v>70</v>
      </c>
      <c r="X64" s="7"/>
      <c r="Y64" s="6" t="s">
        <v>65</v>
      </c>
      <c r="Z64" s="6" t="s">
        <v>65</v>
      </c>
      <c r="AA64" s="6" t="s">
        <v>65</v>
      </c>
      <c r="AB64" s="8">
        <v>0</v>
      </c>
      <c r="AC64" s="7"/>
      <c r="AD64" s="7"/>
      <c r="AE64" s="7"/>
      <c r="AF64" s="7"/>
      <c r="AG64" s="6" t="s">
        <v>72</v>
      </c>
      <c r="AH64" s="6" t="s">
        <v>73</v>
      </c>
      <c r="AI64" s="6" t="s">
        <v>601</v>
      </c>
      <c r="AJ64" s="7">
        <v>46604</v>
      </c>
      <c r="AK64" s="6" t="s">
        <v>65</v>
      </c>
      <c r="AL64" s="6" t="s">
        <v>65</v>
      </c>
      <c r="AM64" s="6" t="s">
        <v>65</v>
      </c>
      <c r="AN64" s="9">
        <v>0</v>
      </c>
      <c r="AO64" s="9">
        <v>0</v>
      </c>
      <c r="AP64" s="6" t="s">
        <v>589</v>
      </c>
      <c r="AQ64" s="8">
        <v>7750000</v>
      </c>
      <c r="AR64" s="7">
        <v>46235</v>
      </c>
      <c r="AS64" s="6" t="s">
        <v>65</v>
      </c>
      <c r="AT64" s="6" t="s">
        <v>65</v>
      </c>
      <c r="AU64" s="6" t="s">
        <v>602</v>
      </c>
    </row>
    <row r="65" spans="1:47">
      <c r="A65" t="str">
        <f t="shared" si="0"/>
        <v>DK-403</v>
      </c>
      <c r="B65" s="5" t="s">
        <v>52</v>
      </c>
      <c r="C65" s="6" t="s">
        <v>53</v>
      </c>
      <c r="D65" s="7">
        <v>46253</v>
      </c>
      <c r="E65" s="7">
        <v>2958465</v>
      </c>
      <c r="F65" s="6" t="s">
        <v>603</v>
      </c>
      <c r="G65" s="6" t="s">
        <v>93</v>
      </c>
      <c r="H65" s="6" t="s">
        <v>94</v>
      </c>
      <c r="I65" s="6" t="s">
        <v>95</v>
      </c>
      <c r="J65" s="6" t="s">
        <v>96</v>
      </c>
      <c r="K65" s="6" t="s">
        <v>466</v>
      </c>
      <c r="L65" s="6" t="s">
        <v>604</v>
      </c>
      <c r="M65" s="6" t="s">
        <v>584</v>
      </c>
      <c r="N65" s="6" t="s">
        <v>574</v>
      </c>
      <c r="O65" s="6" t="s">
        <v>605</v>
      </c>
      <c r="P65" s="6" t="s">
        <v>586</v>
      </c>
      <c r="Q65" s="6" t="s">
        <v>110</v>
      </c>
      <c r="R65" s="6" t="s">
        <v>66</v>
      </c>
      <c r="S65" s="6" t="s">
        <v>555</v>
      </c>
      <c r="T65" s="6" t="s">
        <v>68</v>
      </c>
      <c r="U65" s="6" t="s">
        <v>606</v>
      </c>
      <c r="V65" s="6" t="s">
        <v>65</v>
      </c>
      <c r="W65" s="6" t="s">
        <v>70</v>
      </c>
      <c r="X65" s="7"/>
      <c r="Y65" s="6" t="s">
        <v>65</v>
      </c>
      <c r="Z65" s="6" t="s">
        <v>65</v>
      </c>
      <c r="AA65" s="6" t="s">
        <v>65</v>
      </c>
      <c r="AB65" s="8">
        <v>0</v>
      </c>
      <c r="AC65" s="7"/>
      <c r="AD65" s="7"/>
      <c r="AE65" s="7"/>
      <c r="AF65" s="7"/>
      <c r="AG65" s="6" t="s">
        <v>72</v>
      </c>
      <c r="AH65" s="6" t="s">
        <v>73</v>
      </c>
      <c r="AI65" s="6" t="s">
        <v>607</v>
      </c>
      <c r="AJ65" s="7">
        <v>46604</v>
      </c>
      <c r="AK65" s="6" t="s">
        <v>65</v>
      </c>
      <c r="AL65" s="6" t="s">
        <v>65</v>
      </c>
      <c r="AM65" s="6" t="s">
        <v>65</v>
      </c>
      <c r="AN65" s="9">
        <v>0</v>
      </c>
      <c r="AO65" s="9">
        <v>0</v>
      </c>
      <c r="AP65" s="6" t="s">
        <v>589</v>
      </c>
      <c r="AQ65" s="8">
        <v>7750000</v>
      </c>
      <c r="AR65" s="7">
        <v>46235</v>
      </c>
      <c r="AS65" s="6" t="s">
        <v>65</v>
      </c>
      <c r="AT65" s="6" t="s">
        <v>65</v>
      </c>
      <c r="AU65" s="6" t="s">
        <v>608</v>
      </c>
    </row>
    <row r="66" spans="1:47">
      <c r="A66" t="str">
        <f t="shared" si="0"/>
        <v>DK-404</v>
      </c>
      <c r="B66" s="5" t="s">
        <v>52</v>
      </c>
      <c r="C66" s="6" t="s">
        <v>53</v>
      </c>
      <c r="D66" s="7">
        <v>46249</v>
      </c>
      <c r="E66" s="7">
        <v>2958465</v>
      </c>
      <c r="F66" s="6" t="s">
        <v>609</v>
      </c>
      <c r="G66" s="6" t="s">
        <v>93</v>
      </c>
      <c r="H66" s="6" t="s">
        <v>94</v>
      </c>
      <c r="I66" s="6" t="s">
        <v>95</v>
      </c>
      <c r="J66" s="6" t="s">
        <v>96</v>
      </c>
      <c r="K66" s="6" t="s">
        <v>466</v>
      </c>
      <c r="L66" s="6" t="s">
        <v>610</v>
      </c>
      <c r="M66" s="6" t="s">
        <v>584</v>
      </c>
      <c r="N66" s="6" t="s">
        <v>574</v>
      </c>
      <c r="O66" s="6" t="s">
        <v>611</v>
      </c>
      <c r="P66" s="6" t="s">
        <v>586</v>
      </c>
      <c r="Q66" s="6" t="s">
        <v>110</v>
      </c>
      <c r="R66" s="6" t="s">
        <v>66</v>
      </c>
      <c r="S66" s="6" t="s">
        <v>555</v>
      </c>
      <c r="T66" s="6" t="s">
        <v>68</v>
      </c>
      <c r="U66" s="6" t="s">
        <v>612</v>
      </c>
      <c r="V66" s="6" t="s">
        <v>65</v>
      </c>
      <c r="W66" s="6" t="s">
        <v>70</v>
      </c>
      <c r="X66" s="7"/>
      <c r="Y66" s="6" t="s">
        <v>65</v>
      </c>
      <c r="Z66" s="6" t="s">
        <v>65</v>
      </c>
      <c r="AA66" s="6" t="s">
        <v>65</v>
      </c>
      <c r="AB66" s="8">
        <v>0</v>
      </c>
      <c r="AC66" s="7"/>
      <c r="AD66" s="7"/>
      <c r="AE66" s="7"/>
      <c r="AF66" s="7"/>
      <c r="AG66" s="6" t="s">
        <v>72</v>
      </c>
      <c r="AH66" s="6" t="s">
        <v>73</v>
      </c>
      <c r="AI66" s="6" t="s">
        <v>613</v>
      </c>
      <c r="AJ66" s="7">
        <v>46604</v>
      </c>
      <c r="AK66" s="6" t="s">
        <v>65</v>
      </c>
      <c r="AL66" s="6" t="s">
        <v>65</v>
      </c>
      <c r="AM66" s="6" t="s">
        <v>65</v>
      </c>
      <c r="AN66" s="9">
        <v>0</v>
      </c>
      <c r="AO66" s="9">
        <v>0</v>
      </c>
      <c r="AP66" s="6" t="s">
        <v>589</v>
      </c>
      <c r="AQ66" s="8">
        <v>7750000</v>
      </c>
      <c r="AR66" s="7">
        <v>46235</v>
      </c>
      <c r="AS66" s="6" t="s">
        <v>65</v>
      </c>
      <c r="AT66" s="6" t="s">
        <v>65</v>
      </c>
      <c r="AU66" s="6" t="s">
        <v>614</v>
      </c>
    </row>
    <row r="67" spans="1:47">
      <c r="A67" t="str">
        <f t="shared" ref="A67:A116" si="1">L67</f>
        <v>DK-405</v>
      </c>
      <c r="B67" s="5" t="s">
        <v>52</v>
      </c>
      <c r="C67" s="6" t="s">
        <v>53</v>
      </c>
      <c r="D67" s="7">
        <v>46249</v>
      </c>
      <c r="E67" s="7">
        <v>2958465</v>
      </c>
      <c r="F67" s="6" t="s">
        <v>615</v>
      </c>
      <c r="G67" s="6" t="s">
        <v>93</v>
      </c>
      <c r="H67" s="6" t="s">
        <v>94</v>
      </c>
      <c r="I67" s="6" t="s">
        <v>95</v>
      </c>
      <c r="J67" s="6" t="s">
        <v>96</v>
      </c>
      <c r="K67" s="6" t="s">
        <v>466</v>
      </c>
      <c r="L67" s="6" t="s">
        <v>616</v>
      </c>
      <c r="M67" s="6" t="s">
        <v>584</v>
      </c>
      <c r="N67" s="6" t="s">
        <v>574</v>
      </c>
      <c r="O67" s="6" t="s">
        <v>617</v>
      </c>
      <c r="P67" s="6" t="s">
        <v>586</v>
      </c>
      <c r="Q67" s="6" t="s">
        <v>110</v>
      </c>
      <c r="R67" s="6" t="s">
        <v>66</v>
      </c>
      <c r="S67" s="6" t="s">
        <v>555</v>
      </c>
      <c r="T67" s="6" t="s">
        <v>68</v>
      </c>
      <c r="U67" s="6" t="s">
        <v>618</v>
      </c>
      <c r="V67" s="6" t="s">
        <v>65</v>
      </c>
      <c r="W67" s="6" t="s">
        <v>70</v>
      </c>
      <c r="X67" s="7"/>
      <c r="Y67" s="6" t="s">
        <v>65</v>
      </c>
      <c r="Z67" s="6" t="s">
        <v>65</v>
      </c>
      <c r="AA67" s="6" t="s">
        <v>65</v>
      </c>
      <c r="AB67" s="8">
        <v>0</v>
      </c>
      <c r="AC67" s="7"/>
      <c r="AD67" s="7"/>
      <c r="AE67" s="7"/>
      <c r="AF67" s="7"/>
      <c r="AG67" s="6" t="s">
        <v>72</v>
      </c>
      <c r="AH67" s="6" t="s">
        <v>73</v>
      </c>
      <c r="AI67" s="6" t="s">
        <v>619</v>
      </c>
      <c r="AJ67" s="7">
        <v>46604</v>
      </c>
      <c r="AK67" s="6" t="s">
        <v>65</v>
      </c>
      <c r="AL67" s="6" t="s">
        <v>65</v>
      </c>
      <c r="AM67" s="6" t="s">
        <v>65</v>
      </c>
      <c r="AN67" s="9">
        <v>0</v>
      </c>
      <c r="AO67" s="9">
        <v>0</v>
      </c>
      <c r="AP67" s="6" t="s">
        <v>589</v>
      </c>
      <c r="AQ67" s="8">
        <v>7750000</v>
      </c>
      <c r="AR67" s="7">
        <v>46235</v>
      </c>
      <c r="AS67" s="6" t="s">
        <v>65</v>
      </c>
      <c r="AT67" s="6" t="s">
        <v>65</v>
      </c>
      <c r="AU67" s="6" t="s">
        <v>620</v>
      </c>
    </row>
    <row r="68" spans="1:47">
      <c r="A68" t="str">
        <f t="shared" si="1"/>
        <v>DK-406</v>
      </c>
      <c r="B68" s="5" t="s">
        <v>52</v>
      </c>
      <c r="C68" s="6" t="s">
        <v>53</v>
      </c>
      <c r="D68" s="7">
        <v>46249</v>
      </c>
      <c r="E68" s="7">
        <v>2958465</v>
      </c>
      <c r="F68" s="6" t="s">
        <v>621</v>
      </c>
      <c r="G68" s="6" t="s">
        <v>93</v>
      </c>
      <c r="H68" s="6" t="s">
        <v>94</v>
      </c>
      <c r="I68" s="6" t="s">
        <v>95</v>
      </c>
      <c r="J68" s="6" t="s">
        <v>96</v>
      </c>
      <c r="K68" s="6" t="s">
        <v>466</v>
      </c>
      <c r="L68" s="6" t="s">
        <v>622</v>
      </c>
      <c r="M68" s="6" t="s">
        <v>584</v>
      </c>
      <c r="N68" s="6" t="s">
        <v>574</v>
      </c>
      <c r="O68" s="6" t="s">
        <v>623</v>
      </c>
      <c r="P68" s="6" t="s">
        <v>586</v>
      </c>
      <c r="Q68" s="6" t="s">
        <v>110</v>
      </c>
      <c r="R68" s="6" t="s">
        <v>66</v>
      </c>
      <c r="S68" s="6" t="s">
        <v>555</v>
      </c>
      <c r="T68" s="6" t="s">
        <v>68</v>
      </c>
      <c r="U68" s="6" t="s">
        <v>624</v>
      </c>
      <c r="V68" s="6" t="s">
        <v>65</v>
      </c>
      <c r="W68" s="6" t="s">
        <v>70</v>
      </c>
      <c r="X68" s="7"/>
      <c r="Y68" s="6" t="s">
        <v>65</v>
      </c>
      <c r="Z68" s="6" t="s">
        <v>65</v>
      </c>
      <c r="AA68" s="6" t="s">
        <v>65</v>
      </c>
      <c r="AB68" s="8">
        <v>0</v>
      </c>
      <c r="AC68" s="7"/>
      <c r="AD68" s="7"/>
      <c r="AE68" s="7"/>
      <c r="AF68" s="7"/>
      <c r="AG68" s="6" t="s">
        <v>72</v>
      </c>
      <c r="AH68" s="6" t="s">
        <v>73</v>
      </c>
      <c r="AI68" s="6" t="s">
        <v>625</v>
      </c>
      <c r="AJ68" s="7">
        <v>46604</v>
      </c>
      <c r="AK68" s="6" t="s">
        <v>65</v>
      </c>
      <c r="AL68" s="6" t="s">
        <v>65</v>
      </c>
      <c r="AM68" s="6" t="s">
        <v>65</v>
      </c>
      <c r="AN68" s="9">
        <v>0</v>
      </c>
      <c r="AO68" s="9">
        <v>0</v>
      </c>
      <c r="AP68" s="6" t="s">
        <v>589</v>
      </c>
      <c r="AQ68" s="8">
        <v>7750000</v>
      </c>
      <c r="AR68" s="7">
        <v>46235</v>
      </c>
      <c r="AS68" s="6" t="s">
        <v>65</v>
      </c>
      <c r="AT68" s="6" t="s">
        <v>65</v>
      </c>
      <c r="AU68" s="6" t="s">
        <v>626</v>
      </c>
    </row>
    <row r="69" spans="1:47">
      <c r="A69" t="str">
        <f t="shared" si="1"/>
        <v>DK-407</v>
      </c>
      <c r="B69" s="5" t="s">
        <v>52</v>
      </c>
      <c r="C69" s="6" t="s">
        <v>53</v>
      </c>
      <c r="D69" s="7">
        <v>46253</v>
      </c>
      <c r="E69" s="7">
        <v>2958465</v>
      </c>
      <c r="F69" s="6" t="s">
        <v>627</v>
      </c>
      <c r="G69" s="6" t="s">
        <v>93</v>
      </c>
      <c r="H69" s="6" t="s">
        <v>94</v>
      </c>
      <c r="I69" s="6" t="s">
        <v>95</v>
      </c>
      <c r="J69" s="6" t="s">
        <v>96</v>
      </c>
      <c r="K69" s="6" t="s">
        <v>466</v>
      </c>
      <c r="L69" s="6" t="s">
        <v>628</v>
      </c>
      <c r="M69" s="6" t="s">
        <v>584</v>
      </c>
      <c r="N69" s="6" t="s">
        <v>574</v>
      </c>
      <c r="O69" s="6" t="s">
        <v>629</v>
      </c>
      <c r="P69" s="6" t="s">
        <v>586</v>
      </c>
      <c r="Q69" s="6" t="s">
        <v>110</v>
      </c>
      <c r="R69" s="6" t="s">
        <v>66</v>
      </c>
      <c r="S69" s="6" t="s">
        <v>555</v>
      </c>
      <c r="T69" s="6" t="s">
        <v>68</v>
      </c>
      <c r="U69" s="6" t="s">
        <v>630</v>
      </c>
      <c r="V69" s="6" t="s">
        <v>65</v>
      </c>
      <c r="W69" s="6" t="s">
        <v>70</v>
      </c>
      <c r="X69" s="7"/>
      <c r="Y69" s="6" t="s">
        <v>65</v>
      </c>
      <c r="Z69" s="6" t="s">
        <v>65</v>
      </c>
      <c r="AA69" s="6" t="s">
        <v>65</v>
      </c>
      <c r="AB69" s="8">
        <v>0</v>
      </c>
      <c r="AC69" s="7"/>
      <c r="AD69" s="7"/>
      <c r="AE69" s="7"/>
      <c r="AF69" s="7"/>
      <c r="AG69" s="6" t="s">
        <v>72</v>
      </c>
      <c r="AH69" s="6" t="s">
        <v>73</v>
      </c>
      <c r="AI69" s="6" t="s">
        <v>631</v>
      </c>
      <c r="AJ69" s="7">
        <v>46604</v>
      </c>
      <c r="AK69" s="6" t="s">
        <v>65</v>
      </c>
      <c r="AL69" s="6" t="s">
        <v>65</v>
      </c>
      <c r="AM69" s="6" t="s">
        <v>65</v>
      </c>
      <c r="AN69" s="9">
        <v>0</v>
      </c>
      <c r="AO69" s="9">
        <v>0</v>
      </c>
      <c r="AP69" s="6" t="s">
        <v>589</v>
      </c>
      <c r="AQ69" s="8">
        <v>7750000</v>
      </c>
      <c r="AR69" s="7">
        <v>46235</v>
      </c>
      <c r="AS69" s="6" t="s">
        <v>65</v>
      </c>
      <c r="AT69" s="6" t="s">
        <v>65</v>
      </c>
      <c r="AU69" s="6" t="s">
        <v>632</v>
      </c>
    </row>
    <row r="70" spans="1:47">
      <c r="A70" t="str">
        <f t="shared" si="1"/>
        <v>DK-408</v>
      </c>
      <c r="B70" s="5" t="s">
        <v>52</v>
      </c>
      <c r="C70" s="6" t="s">
        <v>53</v>
      </c>
      <c r="D70" s="7">
        <v>46253</v>
      </c>
      <c r="E70" s="7">
        <v>2958465</v>
      </c>
      <c r="F70" s="6" t="s">
        <v>633</v>
      </c>
      <c r="G70" s="6" t="s">
        <v>93</v>
      </c>
      <c r="H70" s="6" t="s">
        <v>94</v>
      </c>
      <c r="I70" s="6" t="s">
        <v>95</v>
      </c>
      <c r="J70" s="6" t="s">
        <v>96</v>
      </c>
      <c r="K70" s="6" t="s">
        <v>466</v>
      </c>
      <c r="L70" s="6" t="s">
        <v>634</v>
      </c>
      <c r="M70" s="6" t="s">
        <v>584</v>
      </c>
      <c r="N70" s="6" t="s">
        <v>574</v>
      </c>
      <c r="O70" s="6" t="s">
        <v>635</v>
      </c>
      <c r="P70" s="6" t="s">
        <v>586</v>
      </c>
      <c r="Q70" s="6" t="s">
        <v>110</v>
      </c>
      <c r="R70" s="6" t="s">
        <v>66</v>
      </c>
      <c r="S70" s="6" t="s">
        <v>555</v>
      </c>
      <c r="T70" s="6" t="s">
        <v>68</v>
      </c>
      <c r="U70" s="6" t="s">
        <v>636</v>
      </c>
      <c r="V70" s="6" t="s">
        <v>65</v>
      </c>
      <c r="W70" s="6" t="s">
        <v>70</v>
      </c>
      <c r="X70" s="7"/>
      <c r="Y70" s="6" t="s">
        <v>65</v>
      </c>
      <c r="Z70" s="6" t="s">
        <v>65</v>
      </c>
      <c r="AA70" s="6" t="s">
        <v>65</v>
      </c>
      <c r="AB70" s="8">
        <v>0</v>
      </c>
      <c r="AC70" s="7"/>
      <c r="AD70" s="7"/>
      <c r="AE70" s="7"/>
      <c r="AF70" s="7"/>
      <c r="AG70" s="6" t="s">
        <v>72</v>
      </c>
      <c r="AH70" s="6" t="s">
        <v>73</v>
      </c>
      <c r="AI70" s="6" t="s">
        <v>637</v>
      </c>
      <c r="AJ70" s="7">
        <v>46604</v>
      </c>
      <c r="AK70" s="6" t="s">
        <v>65</v>
      </c>
      <c r="AL70" s="6" t="s">
        <v>65</v>
      </c>
      <c r="AM70" s="6" t="s">
        <v>65</v>
      </c>
      <c r="AN70" s="9">
        <v>0</v>
      </c>
      <c r="AO70" s="9">
        <v>0</v>
      </c>
      <c r="AP70" s="6" t="s">
        <v>589</v>
      </c>
      <c r="AQ70" s="8">
        <v>7750000</v>
      </c>
      <c r="AR70" s="7">
        <v>46235</v>
      </c>
      <c r="AS70" s="6" t="s">
        <v>65</v>
      </c>
      <c r="AT70" s="6" t="s">
        <v>65</v>
      </c>
      <c r="AU70" s="6" t="s">
        <v>638</v>
      </c>
    </row>
    <row r="71" spans="1:47">
      <c r="A71" t="str">
        <f t="shared" si="1"/>
        <v>DK-409</v>
      </c>
      <c r="B71" s="5" t="s">
        <v>52</v>
      </c>
      <c r="C71" s="6" t="s">
        <v>53</v>
      </c>
      <c r="D71" s="7">
        <v>46253</v>
      </c>
      <c r="E71" s="7">
        <v>2958465</v>
      </c>
      <c r="F71" s="6" t="s">
        <v>639</v>
      </c>
      <c r="G71" s="6" t="s">
        <v>93</v>
      </c>
      <c r="H71" s="6" t="s">
        <v>94</v>
      </c>
      <c r="I71" s="6" t="s">
        <v>95</v>
      </c>
      <c r="J71" s="6" t="s">
        <v>96</v>
      </c>
      <c r="K71" s="6" t="s">
        <v>466</v>
      </c>
      <c r="L71" s="6" t="s">
        <v>640</v>
      </c>
      <c r="M71" s="6" t="s">
        <v>584</v>
      </c>
      <c r="N71" s="6" t="s">
        <v>574</v>
      </c>
      <c r="O71" s="6" t="s">
        <v>641</v>
      </c>
      <c r="P71" s="6" t="s">
        <v>586</v>
      </c>
      <c r="Q71" s="6" t="s">
        <v>110</v>
      </c>
      <c r="R71" s="6" t="s">
        <v>66</v>
      </c>
      <c r="S71" s="6" t="s">
        <v>555</v>
      </c>
      <c r="T71" s="6" t="s">
        <v>68</v>
      </c>
      <c r="U71" s="6" t="s">
        <v>642</v>
      </c>
      <c r="V71" s="6" t="s">
        <v>65</v>
      </c>
      <c r="W71" s="6" t="s">
        <v>70</v>
      </c>
      <c r="X71" s="7"/>
      <c r="Y71" s="6" t="s">
        <v>65</v>
      </c>
      <c r="Z71" s="6" t="s">
        <v>65</v>
      </c>
      <c r="AA71" s="6" t="s">
        <v>65</v>
      </c>
      <c r="AB71" s="8">
        <v>0</v>
      </c>
      <c r="AC71" s="7"/>
      <c r="AD71" s="7"/>
      <c r="AE71" s="7"/>
      <c r="AF71" s="7"/>
      <c r="AG71" s="6" t="s">
        <v>72</v>
      </c>
      <c r="AH71" s="6" t="s">
        <v>73</v>
      </c>
      <c r="AI71" s="6" t="s">
        <v>643</v>
      </c>
      <c r="AJ71" s="7">
        <v>46604</v>
      </c>
      <c r="AK71" s="6" t="s">
        <v>65</v>
      </c>
      <c r="AL71" s="6" t="s">
        <v>65</v>
      </c>
      <c r="AM71" s="6" t="s">
        <v>65</v>
      </c>
      <c r="AN71" s="9">
        <v>0</v>
      </c>
      <c r="AO71" s="9">
        <v>0</v>
      </c>
      <c r="AP71" s="6" t="s">
        <v>589</v>
      </c>
      <c r="AQ71" s="8">
        <v>7750000</v>
      </c>
      <c r="AR71" s="7">
        <v>46235</v>
      </c>
      <c r="AS71" s="6" t="s">
        <v>65</v>
      </c>
      <c r="AT71" s="6" t="s">
        <v>65</v>
      </c>
      <c r="AU71" s="6" t="s">
        <v>644</v>
      </c>
    </row>
    <row r="72" spans="1:47">
      <c r="A72" t="str">
        <f t="shared" si="1"/>
        <v>MBV-002</v>
      </c>
      <c r="B72" s="5" t="s">
        <v>52</v>
      </c>
      <c r="C72" s="6" t="s">
        <v>53</v>
      </c>
      <c r="D72" s="7">
        <v>46107</v>
      </c>
      <c r="E72" s="7">
        <v>2958465</v>
      </c>
      <c r="F72" s="6" t="s">
        <v>645</v>
      </c>
      <c r="G72" s="6" t="s">
        <v>55</v>
      </c>
      <c r="H72" s="6" t="s">
        <v>56</v>
      </c>
      <c r="I72" s="6" t="s">
        <v>57</v>
      </c>
      <c r="J72" s="6" t="s">
        <v>58</v>
      </c>
      <c r="K72" s="6" t="s">
        <v>466</v>
      </c>
      <c r="L72" s="6" t="s">
        <v>646</v>
      </c>
      <c r="M72" s="6" t="s">
        <v>647</v>
      </c>
      <c r="N72" s="6" t="s">
        <v>648</v>
      </c>
      <c r="O72" s="6" t="s">
        <v>649</v>
      </c>
      <c r="P72" s="6" t="s">
        <v>484</v>
      </c>
      <c r="Q72" s="6" t="s">
        <v>263</v>
      </c>
      <c r="R72" s="6" t="s">
        <v>66</v>
      </c>
      <c r="S72" s="6" t="s">
        <v>650</v>
      </c>
      <c r="T72" s="6" t="s">
        <v>68</v>
      </c>
      <c r="U72" s="6" t="s">
        <v>651</v>
      </c>
      <c r="V72" s="6" t="s">
        <v>140</v>
      </c>
      <c r="W72" s="6" t="s">
        <v>70</v>
      </c>
      <c r="X72" s="7"/>
      <c r="Y72" s="6" t="s">
        <v>65</v>
      </c>
      <c r="Z72" s="6" t="s">
        <v>71</v>
      </c>
      <c r="AA72" s="6" t="s">
        <v>71</v>
      </c>
      <c r="AB72" s="8">
        <v>380000</v>
      </c>
      <c r="AC72" s="7">
        <v>45945</v>
      </c>
      <c r="AD72" s="7">
        <v>45911</v>
      </c>
      <c r="AE72" s="7">
        <v>46310</v>
      </c>
      <c r="AF72" s="7">
        <v>46276</v>
      </c>
      <c r="AG72" s="6" t="s">
        <v>72</v>
      </c>
      <c r="AH72" s="6" t="s">
        <v>73</v>
      </c>
      <c r="AI72" s="6" t="s">
        <v>652</v>
      </c>
      <c r="AJ72" s="7">
        <v>46332</v>
      </c>
      <c r="AK72" s="6" t="s">
        <v>74</v>
      </c>
      <c r="AL72" s="6" t="s">
        <v>653</v>
      </c>
      <c r="AM72" s="6" t="s">
        <v>654</v>
      </c>
      <c r="AN72" s="9">
        <v>107486.78</v>
      </c>
      <c r="AO72" s="9">
        <v>107486.78</v>
      </c>
      <c r="AP72" s="6" t="s">
        <v>73</v>
      </c>
      <c r="AQ72" s="8">
        <v>6500000</v>
      </c>
      <c r="AR72" s="7">
        <v>45188</v>
      </c>
      <c r="AS72" s="6" t="s">
        <v>77</v>
      </c>
      <c r="AT72" s="6" t="s">
        <v>77</v>
      </c>
      <c r="AU72" s="6" t="s">
        <v>655</v>
      </c>
    </row>
    <row r="73" spans="1:47">
      <c r="A73" t="str">
        <f t="shared" si="1"/>
        <v>MBV-003</v>
      </c>
      <c r="B73" s="5" t="s">
        <v>52</v>
      </c>
      <c r="C73" s="6" t="s">
        <v>53</v>
      </c>
      <c r="D73" s="7">
        <v>46253</v>
      </c>
      <c r="E73" s="7">
        <v>2958465</v>
      </c>
      <c r="F73" s="6" t="s">
        <v>656</v>
      </c>
      <c r="G73" s="6" t="s">
        <v>93</v>
      </c>
      <c r="H73" s="6" t="s">
        <v>94</v>
      </c>
      <c r="I73" s="6" t="s">
        <v>95</v>
      </c>
      <c r="J73" s="6" t="s">
        <v>96</v>
      </c>
      <c r="K73" s="6" t="s">
        <v>466</v>
      </c>
      <c r="L73" s="6" t="s">
        <v>657</v>
      </c>
      <c r="M73" s="6" t="s">
        <v>658</v>
      </c>
      <c r="N73" s="6" t="s">
        <v>659</v>
      </c>
      <c r="O73" s="6" t="s">
        <v>660</v>
      </c>
      <c r="P73" s="6" t="s">
        <v>521</v>
      </c>
      <c r="Q73" s="6" t="s">
        <v>661</v>
      </c>
      <c r="R73" s="6" t="s">
        <v>66</v>
      </c>
      <c r="S73" s="6" t="s">
        <v>650</v>
      </c>
      <c r="T73" s="6" t="s">
        <v>68</v>
      </c>
      <c r="U73" s="6" t="s">
        <v>662</v>
      </c>
      <c r="V73" s="6" t="s">
        <v>487</v>
      </c>
      <c r="W73" s="6" t="s">
        <v>663</v>
      </c>
      <c r="X73" s="7"/>
      <c r="Y73" s="6" t="s">
        <v>65</v>
      </c>
      <c r="Z73" s="6" t="s">
        <v>71</v>
      </c>
      <c r="AA73" s="6" t="s">
        <v>71</v>
      </c>
      <c r="AB73" s="8">
        <v>180000</v>
      </c>
      <c r="AC73" s="7">
        <v>46177</v>
      </c>
      <c r="AD73" s="7">
        <v>45911</v>
      </c>
      <c r="AE73" s="7">
        <v>46542</v>
      </c>
      <c r="AF73" s="7">
        <v>46276</v>
      </c>
      <c r="AG73" s="6" t="s">
        <v>72</v>
      </c>
      <c r="AH73" s="6" t="s">
        <v>73</v>
      </c>
      <c r="AI73" s="6" t="s">
        <v>664</v>
      </c>
      <c r="AJ73" s="7">
        <v>46587</v>
      </c>
      <c r="AK73" s="6" t="s">
        <v>74</v>
      </c>
      <c r="AL73" s="6" t="s">
        <v>665</v>
      </c>
      <c r="AM73" s="6" t="s">
        <v>666</v>
      </c>
      <c r="AN73" s="9">
        <v>30300</v>
      </c>
      <c r="AO73" s="9">
        <v>102125.01</v>
      </c>
      <c r="AP73" s="6" t="s">
        <v>73</v>
      </c>
      <c r="AQ73" s="8">
        <v>2000000</v>
      </c>
      <c r="AR73" s="7">
        <v>45188</v>
      </c>
      <c r="AS73" s="6" t="s">
        <v>77</v>
      </c>
      <c r="AT73" s="6" t="s">
        <v>77</v>
      </c>
      <c r="AU73" s="6" t="s">
        <v>667</v>
      </c>
    </row>
    <row r="74" spans="1:47">
      <c r="A74" t="str">
        <f t="shared" si="1"/>
        <v>MBV-005</v>
      </c>
      <c r="B74" s="5" t="s">
        <v>52</v>
      </c>
      <c r="C74" s="6" t="s">
        <v>53</v>
      </c>
      <c r="D74" s="7">
        <v>46252</v>
      </c>
      <c r="E74" s="7">
        <v>2958465</v>
      </c>
      <c r="F74" s="6" t="s">
        <v>668</v>
      </c>
      <c r="G74" s="6" t="s">
        <v>55</v>
      </c>
      <c r="H74" s="6" t="s">
        <v>56</v>
      </c>
      <c r="I74" s="6" t="s">
        <v>57</v>
      </c>
      <c r="J74" s="6" t="s">
        <v>58</v>
      </c>
      <c r="K74" s="6" t="s">
        <v>466</v>
      </c>
      <c r="L74" s="6" t="s">
        <v>669</v>
      </c>
      <c r="M74" s="6" t="s">
        <v>670</v>
      </c>
      <c r="N74" s="6" t="s">
        <v>671</v>
      </c>
      <c r="O74" s="6" t="s">
        <v>672</v>
      </c>
      <c r="P74" s="6" t="s">
        <v>484</v>
      </c>
      <c r="Q74" s="6" t="s">
        <v>263</v>
      </c>
      <c r="R74" s="6" t="s">
        <v>66</v>
      </c>
      <c r="S74" s="6" t="s">
        <v>650</v>
      </c>
      <c r="T74" s="6" t="s">
        <v>68</v>
      </c>
      <c r="U74" s="6" t="s">
        <v>673</v>
      </c>
      <c r="V74" s="6" t="s">
        <v>140</v>
      </c>
      <c r="W74" s="6" t="s">
        <v>70</v>
      </c>
      <c r="X74" s="7"/>
      <c r="Y74" s="6" t="s">
        <v>65</v>
      </c>
      <c r="Z74" s="6" t="s">
        <v>71</v>
      </c>
      <c r="AA74" s="6" t="s">
        <v>71</v>
      </c>
      <c r="AB74" s="8">
        <v>350000</v>
      </c>
      <c r="AC74" s="7">
        <v>45981</v>
      </c>
      <c r="AD74" s="7">
        <v>45911</v>
      </c>
      <c r="AE74" s="7">
        <v>46346</v>
      </c>
      <c r="AF74" s="7">
        <v>46276</v>
      </c>
      <c r="AG74" s="6" t="s">
        <v>72</v>
      </c>
      <c r="AH74" s="6" t="s">
        <v>73</v>
      </c>
      <c r="AI74" s="6" t="s">
        <v>674</v>
      </c>
      <c r="AJ74" s="7">
        <v>46412</v>
      </c>
      <c r="AK74" s="6" t="s">
        <v>74</v>
      </c>
      <c r="AL74" s="6" t="s">
        <v>675</v>
      </c>
      <c r="AM74" s="6" t="s">
        <v>676</v>
      </c>
      <c r="AN74" s="9">
        <v>20439.009999999998</v>
      </c>
      <c r="AO74" s="9">
        <v>106605.67</v>
      </c>
      <c r="AP74" s="6" t="s">
        <v>73</v>
      </c>
      <c r="AQ74" s="8">
        <v>6500000</v>
      </c>
      <c r="AR74" s="7">
        <v>45188</v>
      </c>
      <c r="AS74" s="6" t="s">
        <v>77</v>
      </c>
      <c r="AT74" s="6" t="s">
        <v>77</v>
      </c>
      <c r="AU74" s="6" t="s">
        <v>677</v>
      </c>
    </row>
    <row r="75" spans="1:47">
      <c r="A75" t="str">
        <f t="shared" si="1"/>
        <v>MBV-006</v>
      </c>
      <c r="B75" s="5" t="s">
        <v>52</v>
      </c>
      <c r="C75" s="6" t="s">
        <v>53</v>
      </c>
      <c r="D75" s="7">
        <v>46146</v>
      </c>
      <c r="E75" s="7">
        <v>2958465</v>
      </c>
      <c r="F75" s="6" t="s">
        <v>678</v>
      </c>
      <c r="G75" s="6" t="s">
        <v>55</v>
      </c>
      <c r="H75" s="6" t="s">
        <v>56</v>
      </c>
      <c r="I75" s="6" t="s">
        <v>57</v>
      </c>
      <c r="J75" s="6" t="s">
        <v>58</v>
      </c>
      <c r="K75" s="6" t="s">
        <v>466</v>
      </c>
      <c r="L75" s="6" t="s">
        <v>679</v>
      </c>
      <c r="M75" s="6" t="s">
        <v>680</v>
      </c>
      <c r="N75" s="6" t="s">
        <v>681</v>
      </c>
      <c r="O75" s="6" t="s">
        <v>682</v>
      </c>
      <c r="P75" s="6" t="s">
        <v>683</v>
      </c>
      <c r="Q75" s="6" t="s">
        <v>162</v>
      </c>
      <c r="R75" s="6" t="s">
        <v>66</v>
      </c>
      <c r="S75" s="6" t="s">
        <v>650</v>
      </c>
      <c r="T75" s="6" t="s">
        <v>68</v>
      </c>
      <c r="U75" s="6" t="s">
        <v>684</v>
      </c>
      <c r="V75" s="6" t="s">
        <v>140</v>
      </c>
      <c r="W75" s="6" t="s">
        <v>70</v>
      </c>
      <c r="X75" s="7"/>
      <c r="Y75" s="6" t="s">
        <v>65</v>
      </c>
      <c r="Z75" s="6" t="s">
        <v>71</v>
      </c>
      <c r="AA75" s="6" t="s">
        <v>71</v>
      </c>
      <c r="AB75" s="8">
        <v>670000</v>
      </c>
      <c r="AC75" s="7">
        <v>46083</v>
      </c>
      <c r="AD75" s="7">
        <v>45911</v>
      </c>
      <c r="AE75" s="7">
        <v>46448</v>
      </c>
      <c r="AF75" s="7">
        <v>46276</v>
      </c>
      <c r="AG75" s="6" t="s">
        <v>72</v>
      </c>
      <c r="AH75" s="6" t="s">
        <v>73</v>
      </c>
      <c r="AI75" s="6" t="s">
        <v>685</v>
      </c>
      <c r="AJ75" s="7">
        <v>46505</v>
      </c>
      <c r="AK75" s="6" t="s">
        <v>74</v>
      </c>
      <c r="AL75" s="6" t="s">
        <v>686</v>
      </c>
      <c r="AM75" s="6" t="s">
        <v>687</v>
      </c>
      <c r="AN75" s="9">
        <v>28838</v>
      </c>
      <c r="AO75" s="9">
        <v>125779.46</v>
      </c>
      <c r="AP75" s="6" t="s">
        <v>73</v>
      </c>
      <c r="AQ75" s="8">
        <v>11500000</v>
      </c>
      <c r="AR75" s="7">
        <v>45188</v>
      </c>
      <c r="AS75" s="6" t="s">
        <v>77</v>
      </c>
      <c r="AT75" s="6" t="s">
        <v>77</v>
      </c>
      <c r="AU75" s="6" t="s">
        <v>688</v>
      </c>
    </row>
    <row r="76" spans="1:47">
      <c r="A76" t="str">
        <f t="shared" si="1"/>
        <v>MBV-013</v>
      </c>
      <c r="B76" s="5" t="s">
        <v>52</v>
      </c>
      <c r="C76" s="6" t="s">
        <v>53</v>
      </c>
      <c r="D76" s="7">
        <v>46125</v>
      </c>
      <c r="E76" s="7">
        <v>2958465</v>
      </c>
      <c r="F76" s="6" t="s">
        <v>689</v>
      </c>
      <c r="G76" s="6" t="s">
        <v>55</v>
      </c>
      <c r="H76" s="6" t="s">
        <v>56</v>
      </c>
      <c r="I76" s="6" t="s">
        <v>57</v>
      </c>
      <c r="J76" s="6" t="s">
        <v>58</v>
      </c>
      <c r="K76" s="6" t="s">
        <v>466</v>
      </c>
      <c r="L76" s="6" t="s">
        <v>690</v>
      </c>
      <c r="M76" s="6" t="s">
        <v>691</v>
      </c>
      <c r="N76" s="6" t="s">
        <v>692</v>
      </c>
      <c r="O76" s="6" t="s">
        <v>693</v>
      </c>
      <c r="P76" s="6" t="s">
        <v>484</v>
      </c>
      <c r="Q76" s="6" t="s">
        <v>694</v>
      </c>
      <c r="R76" s="6" t="s">
        <v>66</v>
      </c>
      <c r="S76" s="6" t="s">
        <v>650</v>
      </c>
      <c r="T76" s="6" t="s">
        <v>68</v>
      </c>
      <c r="U76" s="6" t="s">
        <v>695</v>
      </c>
      <c r="V76" s="6" t="s">
        <v>65</v>
      </c>
      <c r="W76" s="6" t="s">
        <v>70</v>
      </c>
      <c r="X76" s="7"/>
      <c r="Y76" s="6" t="s">
        <v>65</v>
      </c>
      <c r="Z76" s="6" t="s">
        <v>71</v>
      </c>
      <c r="AA76" s="6" t="s">
        <v>71</v>
      </c>
      <c r="AB76" s="8">
        <v>0</v>
      </c>
      <c r="AC76" s="7">
        <v>46143</v>
      </c>
      <c r="AD76" s="7">
        <v>45911</v>
      </c>
      <c r="AE76" s="7">
        <v>46502</v>
      </c>
      <c r="AF76" s="7">
        <v>46276</v>
      </c>
      <c r="AG76" s="6" t="s">
        <v>72</v>
      </c>
      <c r="AH76" s="6" t="s">
        <v>73</v>
      </c>
      <c r="AI76" s="6" t="s">
        <v>696</v>
      </c>
      <c r="AJ76" s="7">
        <v>46559</v>
      </c>
      <c r="AK76" s="6" t="s">
        <v>65</v>
      </c>
      <c r="AL76" s="6" t="s">
        <v>697</v>
      </c>
      <c r="AM76" s="6" t="s">
        <v>698</v>
      </c>
      <c r="AN76" s="9">
        <v>49385</v>
      </c>
      <c r="AO76" s="9">
        <v>109249.99</v>
      </c>
      <c r="AP76" s="6" t="s">
        <v>73</v>
      </c>
      <c r="AQ76" s="8">
        <v>0</v>
      </c>
      <c r="AR76" s="7"/>
      <c r="AS76" s="6" t="s">
        <v>77</v>
      </c>
      <c r="AT76" s="6" t="s">
        <v>77</v>
      </c>
      <c r="AU76" s="6" t="s">
        <v>699</v>
      </c>
    </row>
    <row r="77" spans="1:47">
      <c r="A77" t="str">
        <f t="shared" si="1"/>
        <v>MBV-014</v>
      </c>
      <c r="B77" s="5" t="s">
        <v>52</v>
      </c>
      <c r="C77" s="6" t="s">
        <v>53</v>
      </c>
      <c r="D77" s="7">
        <v>46265</v>
      </c>
      <c r="E77" s="7">
        <v>2958465</v>
      </c>
      <c r="F77" s="6" t="s">
        <v>1014</v>
      </c>
      <c r="G77" s="6" t="s">
        <v>93</v>
      </c>
      <c r="H77" s="6" t="s">
        <v>94</v>
      </c>
      <c r="I77" s="6" t="s">
        <v>95</v>
      </c>
      <c r="J77" s="6" t="s">
        <v>96</v>
      </c>
      <c r="K77" s="6" t="s">
        <v>466</v>
      </c>
      <c r="L77" s="6" t="s">
        <v>1015</v>
      </c>
      <c r="M77" s="6" t="s">
        <v>1016</v>
      </c>
      <c r="N77" s="6" t="s">
        <v>1017</v>
      </c>
      <c r="O77" s="6" t="s">
        <v>1018</v>
      </c>
      <c r="P77" s="6" t="s">
        <v>121</v>
      </c>
      <c r="Q77" s="6" t="s">
        <v>1019</v>
      </c>
      <c r="R77" s="6" t="s">
        <v>66</v>
      </c>
      <c r="S77" s="6" t="s">
        <v>650</v>
      </c>
      <c r="T77" s="6" t="s">
        <v>68</v>
      </c>
      <c r="U77" s="6" t="s">
        <v>1020</v>
      </c>
      <c r="V77" s="6" t="s">
        <v>65</v>
      </c>
      <c r="W77" s="6" t="s">
        <v>70</v>
      </c>
      <c r="X77" s="7"/>
      <c r="Y77" s="6" t="s">
        <v>65</v>
      </c>
      <c r="Z77" s="6" t="s">
        <v>71</v>
      </c>
      <c r="AA77" s="6" t="s">
        <v>71</v>
      </c>
      <c r="AB77" s="8">
        <v>0</v>
      </c>
      <c r="AC77" s="7">
        <v>46196</v>
      </c>
      <c r="AD77" s="7">
        <v>45911</v>
      </c>
      <c r="AE77" s="7">
        <v>46561</v>
      </c>
      <c r="AF77" s="7">
        <v>46276</v>
      </c>
      <c r="AG77" s="6" t="s">
        <v>72</v>
      </c>
      <c r="AH77" s="6" t="s">
        <v>73</v>
      </c>
      <c r="AI77" s="6" t="s">
        <v>1021</v>
      </c>
      <c r="AJ77" s="7">
        <v>46624</v>
      </c>
      <c r="AK77" s="6" t="s">
        <v>65</v>
      </c>
      <c r="AL77" s="6" t="s">
        <v>1022</v>
      </c>
      <c r="AM77" s="6" t="s">
        <v>1023</v>
      </c>
      <c r="AN77" s="9">
        <v>30009.99</v>
      </c>
      <c r="AO77" s="9">
        <v>104500.02</v>
      </c>
      <c r="AP77" s="6" t="s">
        <v>73</v>
      </c>
      <c r="AQ77" s="8">
        <v>0</v>
      </c>
      <c r="AR77" s="7"/>
      <c r="AS77" s="6" t="s">
        <v>77</v>
      </c>
      <c r="AT77" s="6" t="s">
        <v>77</v>
      </c>
      <c r="AU77" s="6" t="s">
        <v>1024</v>
      </c>
    </row>
    <row r="78" spans="1:47">
      <c r="A78" t="str">
        <f t="shared" si="1"/>
        <v>TRM-005</v>
      </c>
      <c r="B78" s="5" t="s">
        <v>52</v>
      </c>
      <c r="C78" s="6" t="s">
        <v>53</v>
      </c>
      <c r="D78" s="7">
        <v>46252</v>
      </c>
      <c r="E78" s="7">
        <v>2958465</v>
      </c>
      <c r="F78" s="6" t="s">
        <v>700</v>
      </c>
      <c r="G78" s="6" t="s">
        <v>55</v>
      </c>
      <c r="H78" s="6" t="s">
        <v>56</v>
      </c>
      <c r="I78" s="6" t="s">
        <v>57</v>
      </c>
      <c r="J78" s="6" t="s">
        <v>58</v>
      </c>
      <c r="K78" s="6" t="s">
        <v>466</v>
      </c>
      <c r="L78" s="6" t="s">
        <v>701</v>
      </c>
      <c r="M78" s="6" t="s">
        <v>702</v>
      </c>
      <c r="N78" s="6" t="s">
        <v>703</v>
      </c>
      <c r="O78" s="6" t="s">
        <v>704</v>
      </c>
      <c r="P78" s="6" t="s">
        <v>521</v>
      </c>
      <c r="Q78" s="6" t="s">
        <v>162</v>
      </c>
      <c r="R78" s="6" t="s">
        <v>66</v>
      </c>
      <c r="S78" s="6" t="s">
        <v>705</v>
      </c>
      <c r="T78" s="6" t="s">
        <v>68</v>
      </c>
      <c r="U78" s="6" t="s">
        <v>706</v>
      </c>
      <c r="V78" s="6" t="s">
        <v>140</v>
      </c>
      <c r="W78" s="6" t="s">
        <v>70</v>
      </c>
      <c r="X78" s="7"/>
      <c r="Y78" s="6" t="s">
        <v>65</v>
      </c>
      <c r="Z78" s="6" t="s">
        <v>707</v>
      </c>
      <c r="AA78" s="6" t="s">
        <v>71</v>
      </c>
      <c r="AB78" s="8">
        <v>300000</v>
      </c>
      <c r="AC78" s="7">
        <v>45891</v>
      </c>
      <c r="AD78" s="7">
        <v>45911</v>
      </c>
      <c r="AE78" s="7">
        <v>46256</v>
      </c>
      <c r="AF78" s="7">
        <v>46276</v>
      </c>
      <c r="AG78" s="6" t="s">
        <v>72</v>
      </c>
      <c r="AH78" s="6" t="s">
        <v>73</v>
      </c>
      <c r="AI78" s="6" t="s">
        <v>708</v>
      </c>
      <c r="AJ78" s="7">
        <v>46541</v>
      </c>
      <c r="AK78" s="6" t="s">
        <v>74</v>
      </c>
      <c r="AL78" s="6" t="s">
        <v>709</v>
      </c>
      <c r="AM78" s="6" t="s">
        <v>710</v>
      </c>
      <c r="AN78" s="9">
        <v>19024</v>
      </c>
      <c r="AO78" s="9">
        <v>51790.879999999997</v>
      </c>
      <c r="AP78" s="6" t="s">
        <v>73</v>
      </c>
      <c r="AQ78" s="8">
        <v>2400000</v>
      </c>
      <c r="AR78" s="7">
        <v>45189</v>
      </c>
      <c r="AS78" s="6" t="s">
        <v>77</v>
      </c>
      <c r="AT78" s="6" t="s">
        <v>77</v>
      </c>
      <c r="AU78" s="6" t="s">
        <v>711</v>
      </c>
    </row>
    <row r="79" spans="1:47">
      <c r="A79" t="str">
        <f t="shared" si="1"/>
        <v>TRM-006</v>
      </c>
      <c r="B79" s="5" t="s">
        <v>52</v>
      </c>
      <c r="C79" s="6" t="s">
        <v>53</v>
      </c>
      <c r="D79" s="7">
        <v>46251</v>
      </c>
      <c r="E79" s="7">
        <v>2958465</v>
      </c>
      <c r="F79" s="6" t="s">
        <v>712</v>
      </c>
      <c r="G79" s="6" t="s">
        <v>55</v>
      </c>
      <c r="H79" s="6" t="s">
        <v>56</v>
      </c>
      <c r="I79" s="6" t="s">
        <v>57</v>
      </c>
      <c r="J79" s="6" t="s">
        <v>58</v>
      </c>
      <c r="K79" s="6" t="s">
        <v>466</v>
      </c>
      <c r="L79" s="6" t="s">
        <v>713</v>
      </c>
      <c r="M79" s="6" t="s">
        <v>702</v>
      </c>
      <c r="N79" s="6" t="s">
        <v>703</v>
      </c>
      <c r="O79" s="6" t="s">
        <v>714</v>
      </c>
      <c r="P79" s="6" t="s">
        <v>521</v>
      </c>
      <c r="Q79" s="6" t="s">
        <v>162</v>
      </c>
      <c r="R79" s="6" t="s">
        <v>66</v>
      </c>
      <c r="S79" s="6" t="s">
        <v>705</v>
      </c>
      <c r="T79" s="6" t="s">
        <v>68</v>
      </c>
      <c r="U79" s="6" t="s">
        <v>715</v>
      </c>
      <c r="V79" s="6" t="s">
        <v>487</v>
      </c>
      <c r="W79" s="6" t="s">
        <v>716</v>
      </c>
      <c r="X79" s="7"/>
      <c r="Y79" s="6" t="s">
        <v>65</v>
      </c>
      <c r="Z79" s="6" t="s">
        <v>707</v>
      </c>
      <c r="AA79" s="6" t="s">
        <v>71</v>
      </c>
      <c r="AB79" s="8">
        <v>300000</v>
      </c>
      <c r="AC79" s="7">
        <v>45891</v>
      </c>
      <c r="AD79" s="7">
        <v>45911</v>
      </c>
      <c r="AE79" s="7">
        <v>46256</v>
      </c>
      <c r="AF79" s="7">
        <v>46276</v>
      </c>
      <c r="AG79" s="6" t="s">
        <v>72</v>
      </c>
      <c r="AH79" s="6" t="s">
        <v>73</v>
      </c>
      <c r="AI79" s="6" t="s">
        <v>717</v>
      </c>
      <c r="AJ79" s="7">
        <v>46329</v>
      </c>
      <c r="AK79" s="6" t="s">
        <v>74</v>
      </c>
      <c r="AL79" s="6" t="s">
        <v>718</v>
      </c>
      <c r="AM79" s="6" t="s">
        <v>719</v>
      </c>
      <c r="AN79" s="9">
        <v>22829.02</v>
      </c>
      <c r="AO79" s="9">
        <v>51790.879999999997</v>
      </c>
      <c r="AP79" s="6" t="s">
        <v>73</v>
      </c>
      <c r="AQ79" s="8">
        <v>2400000</v>
      </c>
      <c r="AR79" s="7">
        <v>45189</v>
      </c>
      <c r="AS79" s="6" t="s">
        <v>77</v>
      </c>
      <c r="AT79" s="6" t="s">
        <v>77</v>
      </c>
      <c r="AU79" s="6" t="s">
        <v>720</v>
      </c>
    </row>
    <row r="80" spans="1:47">
      <c r="A80" t="str">
        <f t="shared" si="1"/>
        <v>TRM-013</v>
      </c>
      <c r="B80" s="5" t="s">
        <v>52</v>
      </c>
      <c r="C80" s="6" t="s">
        <v>53</v>
      </c>
      <c r="D80" s="7">
        <v>46132</v>
      </c>
      <c r="E80" s="7">
        <v>2958465</v>
      </c>
      <c r="F80" s="6" t="s">
        <v>721</v>
      </c>
      <c r="G80" s="6" t="s">
        <v>55</v>
      </c>
      <c r="H80" s="6" t="s">
        <v>56</v>
      </c>
      <c r="I80" s="6" t="s">
        <v>57</v>
      </c>
      <c r="J80" s="6" t="s">
        <v>58</v>
      </c>
      <c r="K80" s="6" t="s">
        <v>466</v>
      </c>
      <c r="L80" s="6" t="s">
        <v>722</v>
      </c>
      <c r="M80" s="6" t="s">
        <v>723</v>
      </c>
      <c r="N80" s="6" t="s">
        <v>724</v>
      </c>
      <c r="O80" s="6" t="s">
        <v>725</v>
      </c>
      <c r="P80" s="6" t="s">
        <v>726</v>
      </c>
      <c r="Q80" s="6" t="s">
        <v>172</v>
      </c>
      <c r="R80" s="6" t="s">
        <v>66</v>
      </c>
      <c r="S80" s="6" t="s">
        <v>705</v>
      </c>
      <c r="T80" s="6" t="s">
        <v>68</v>
      </c>
      <c r="U80" s="6" t="s">
        <v>727</v>
      </c>
      <c r="V80" s="6" t="s">
        <v>65</v>
      </c>
      <c r="W80" s="6" t="s">
        <v>70</v>
      </c>
      <c r="X80" s="7"/>
      <c r="Y80" s="6" t="s">
        <v>65</v>
      </c>
      <c r="Z80" s="6" t="s">
        <v>71</v>
      </c>
      <c r="AA80" s="6" t="s">
        <v>71</v>
      </c>
      <c r="AB80" s="8">
        <v>0</v>
      </c>
      <c r="AC80" s="7">
        <v>46184</v>
      </c>
      <c r="AD80" s="7">
        <v>45911</v>
      </c>
      <c r="AE80" s="7">
        <v>46549</v>
      </c>
      <c r="AF80" s="7">
        <v>46276</v>
      </c>
      <c r="AG80" s="6" t="s">
        <v>72</v>
      </c>
      <c r="AH80" s="6" t="s">
        <v>73</v>
      </c>
      <c r="AI80" s="6" t="s">
        <v>728</v>
      </c>
      <c r="AJ80" s="7">
        <v>46360</v>
      </c>
      <c r="AK80" s="6" t="s">
        <v>65</v>
      </c>
      <c r="AL80" s="6" t="s">
        <v>729</v>
      </c>
      <c r="AM80" s="6" t="s">
        <v>730</v>
      </c>
      <c r="AN80" s="9">
        <v>42420.02</v>
      </c>
      <c r="AO80" s="9">
        <v>59521.5</v>
      </c>
      <c r="AP80" s="6" t="s">
        <v>73</v>
      </c>
      <c r="AQ80" s="8">
        <v>4575000</v>
      </c>
      <c r="AR80" s="7">
        <v>45448</v>
      </c>
      <c r="AS80" s="6" t="s">
        <v>77</v>
      </c>
      <c r="AT80" s="6" t="s">
        <v>77</v>
      </c>
      <c r="AU80" s="6" t="s">
        <v>731</v>
      </c>
    </row>
    <row r="81" spans="1:47">
      <c r="A81" t="str">
        <f t="shared" si="1"/>
        <v>TRM-014</v>
      </c>
      <c r="B81" s="5" t="s">
        <v>52</v>
      </c>
      <c r="C81" s="6" t="s">
        <v>53</v>
      </c>
      <c r="D81" s="7">
        <v>46133</v>
      </c>
      <c r="E81" s="7">
        <v>2958465</v>
      </c>
      <c r="F81" s="6" t="s">
        <v>732</v>
      </c>
      <c r="G81" s="6" t="s">
        <v>55</v>
      </c>
      <c r="H81" s="6" t="s">
        <v>56</v>
      </c>
      <c r="I81" s="6" t="s">
        <v>57</v>
      </c>
      <c r="J81" s="6" t="s">
        <v>58</v>
      </c>
      <c r="K81" s="6" t="s">
        <v>466</v>
      </c>
      <c r="L81" s="6" t="s">
        <v>733</v>
      </c>
      <c r="M81" s="6" t="s">
        <v>723</v>
      </c>
      <c r="N81" s="6" t="s">
        <v>724</v>
      </c>
      <c r="O81" s="6" t="s">
        <v>734</v>
      </c>
      <c r="P81" s="6" t="s">
        <v>726</v>
      </c>
      <c r="Q81" s="6" t="s">
        <v>172</v>
      </c>
      <c r="R81" s="6" t="s">
        <v>66</v>
      </c>
      <c r="S81" s="6" t="s">
        <v>705</v>
      </c>
      <c r="T81" s="6" t="s">
        <v>68</v>
      </c>
      <c r="U81" s="6" t="s">
        <v>735</v>
      </c>
      <c r="V81" s="6" t="s">
        <v>65</v>
      </c>
      <c r="W81" s="6" t="s">
        <v>70</v>
      </c>
      <c r="X81" s="7"/>
      <c r="Y81" s="6" t="s">
        <v>65</v>
      </c>
      <c r="Z81" s="6" t="s">
        <v>71</v>
      </c>
      <c r="AA81" s="6" t="s">
        <v>71</v>
      </c>
      <c r="AB81" s="8">
        <v>0</v>
      </c>
      <c r="AC81" s="7">
        <v>46184</v>
      </c>
      <c r="AD81" s="7">
        <v>45911</v>
      </c>
      <c r="AE81" s="7">
        <v>46549</v>
      </c>
      <c r="AF81" s="7">
        <v>46276</v>
      </c>
      <c r="AG81" s="6" t="s">
        <v>72</v>
      </c>
      <c r="AH81" s="6" t="s">
        <v>73</v>
      </c>
      <c r="AI81" s="6" t="s">
        <v>736</v>
      </c>
      <c r="AJ81" s="7">
        <v>46442</v>
      </c>
      <c r="AK81" s="6" t="s">
        <v>65</v>
      </c>
      <c r="AL81" s="6" t="s">
        <v>737</v>
      </c>
      <c r="AM81" s="6" t="s">
        <v>738</v>
      </c>
      <c r="AN81" s="9">
        <v>30300</v>
      </c>
      <c r="AO81" s="9">
        <v>59521.5</v>
      </c>
      <c r="AP81" s="6" t="s">
        <v>73</v>
      </c>
      <c r="AQ81" s="8">
        <v>4575000</v>
      </c>
      <c r="AR81" s="7"/>
      <c r="AS81" s="6" t="s">
        <v>77</v>
      </c>
      <c r="AT81" s="6" t="s">
        <v>77</v>
      </c>
      <c r="AU81" s="6" t="s">
        <v>739</v>
      </c>
    </row>
    <row r="82" spans="1:47">
      <c r="A82" t="str">
        <f t="shared" si="1"/>
        <v>TRM-017</v>
      </c>
      <c r="B82" s="5" t="s">
        <v>52</v>
      </c>
      <c r="C82" s="6" t="s">
        <v>53</v>
      </c>
      <c r="D82" s="7">
        <v>46213</v>
      </c>
      <c r="E82" s="7">
        <v>2958465</v>
      </c>
      <c r="F82" s="6" t="s">
        <v>740</v>
      </c>
      <c r="G82" s="6" t="s">
        <v>55</v>
      </c>
      <c r="H82" s="6" t="s">
        <v>56</v>
      </c>
      <c r="I82" s="6" t="s">
        <v>57</v>
      </c>
      <c r="J82" s="6" t="s">
        <v>58</v>
      </c>
      <c r="K82" s="6" t="s">
        <v>466</v>
      </c>
      <c r="L82" s="6" t="s">
        <v>741</v>
      </c>
      <c r="M82" s="6" t="s">
        <v>742</v>
      </c>
      <c r="N82" s="6" t="s">
        <v>743</v>
      </c>
      <c r="O82" s="6" t="s">
        <v>744</v>
      </c>
      <c r="P82" s="6" t="s">
        <v>121</v>
      </c>
      <c r="Q82" s="6" t="s">
        <v>243</v>
      </c>
      <c r="R82" s="6" t="s">
        <v>66</v>
      </c>
      <c r="S82" s="6" t="s">
        <v>705</v>
      </c>
      <c r="T82" s="6" t="s">
        <v>68</v>
      </c>
      <c r="U82" s="6" t="s">
        <v>745</v>
      </c>
      <c r="V82" s="6" t="s">
        <v>65</v>
      </c>
      <c r="W82" s="6" t="s">
        <v>70</v>
      </c>
      <c r="X82" s="7"/>
      <c r="Y82" s="6" t="s">
        <v>65</v>
      </c>
      <c r="Z82" s="6" t="s">
        <v>71</v>
      </c>
      <c r="AA82" s="6" t="s">
        <v>71</v>
      </c>
      <c r="AB82" s="8">
        <v>0</v>
      </c>
      <c r="AC82" s="7">
        <v>46021</v>
      </c>
      <c r="AD82" s="7">
        <v>45911</v>
      </c>
      <c r="AE82" s="7">
        <v>46386</v>
      </c>
      <c r="AF82" s="7">
        <v>46276</v>
      </c>
      <c r="AG82" s="6" t="s">
        <v>72</v>
      </c>
      <c r="AH82" s="6" t="s">
        <v>73</v>
      </c>
      <c r="AI82" s="6" t="s">
        <v>746</v>
      </c>
      <c r="AJ82" s="7">
        <v>46589</v>
      </c>
      <c r="AK82" s="6" t="s">
        <v>65</v>
      </c>
      <c r="AL82" s="6" t="s">
        <v>747</v>
      </c>
      <c r="AM82" s="6" t="s">
        <v>748</v>
      </c>
      <c r="AN82" s="9">
        <v>39222.99</v>
      </c>
      <c r="AO82" s="9">
        <v>66617.929999999993</v>
      </c>
      <c r="AP82" s="6" t="s">
        <v>73</v>
      </c>
      <c r="AQ82" s="8">
        <v>0</v>
      </c>
      <c r="AR82" s="7"/>
      <c r="AS82" s="6" t="s">
        <v>77</v>
      </c>
      <c r="AT82" s="6" t="s">
        <v>77</v>
      </c>
      <c r="AU82" s="6" t="s">
        <v>749</v>
      </c>
    </row>
    <row r="83" spans="1:47">
      <c r="A83" t="str">
        <f t="shared" si="1"/>
        <v>TRM-020</v>
      </c>
      <c r="B83" s="5" t="s">
        <v>52</v>
      </c>
      <c r="C83" s="6" t="s">
        <v>53</v>
      </c>
      <c r="D83" s="7">
        <v>46132</v>
      </c>
      <c r="E83" s="7">
        <v>2958465</v>
      </c>
      <c r="F83" s="6" t="s">
        <v>750</v>
      </c>
      <c r="G83" s="6" t="s">
        <v>55</v>
      </c>
      <c r="H83" s="6" t="s">
        <v>56</v>
      </c>
      <c r="I83" s="6" t="s">
        <v>57</v>
      </c>
      <c r="J83" s="6" t="s">
        <v>58</v>
      </c>
      <c r="K83" s="6" t="s">
        <v>466</v>
      </c>
      <c r="L83" s="6" t="s">
        <v>751</v>
      </c>
      <c r="M83" s="6" t="s">
        <v>742</v>
      </c>
      <c r="N83" s="6" t="s">
        <v>743</v>
      </c>
      <c r="O83" s="6" t="s">
        <v>752</v>
      </c>
      <c r="P83" s="6" t="s">
        <v>121</v>
      </c>
      <c r="Q83" s="6" t="s">
        <v>243</v>
      </c>
      <c r="R83" s="6" t="s">
        <v>66</v>
      </c>
      <c r="S83" s="6" t="s">
        <v>705</v>
      </c>
      <c r="T83" s="6" t="s">
        <v>68</v>
      </c>
      <c r="U83" s="6" t="s">
        <v>753</v>
      </c>
      <c r="V83" s="6" t="s">
        <v>65</v>
      </c>
      <c r="W83" s="6" t="s">
        <v>70</v>
      </c>
      <c r="X83" s="7"/>
      <c r="Y83" s="6" t="s">
        <v>65</v>
      </c>
      <c r="Z83" s="6" t="s">
        <v>71</v>
      </c>
      <c r="AA83" s="6" t="s">
        <v>71</v>
      </c>
      <c r="AB83" s="8">
        <v>0</v>
      </c>
      <c r="AC83" s="7">
        <v>46021</v>
      </c>
      <c r="AD83" s="7">
        <v>45911</v>
      </c>
      <c r="AE83" s="7">
        <v>46386</v>
      </c>
      <c r="AF83" s="7">
        <v>46276</v>
      </c>
      <c r="AG83" s="6" t="s">
        <v>72</v>
      </c>
      <c r="AH83" s="6" t="s">
        <v>73</v>
      </c>
      <c r="AI83" s="6" t="s">
        <v>754</v>
      </c>
      <c r="AJ83" s="7">
        <v>46322</v>
      </c>
      <c r="AK83" s="6" t="s">
        <v>65</v>
      </c>
      <c r="AL83" s="6" t="s">
        <v>755</v>
      </c>
      <c r="AM83" s="6" t="s">
        <v>756</v>
      </c>
      <c r="AN83" s="9">
        <v>39222.99</v>
      </c>
      <c r="AO83" s="9">
        <v>66617.929999999993</v>
      </c>
      <c r="AP83" s="6" t="s">
        <v>73</v>
      </c>
      <c r="AQ83" s="8">
        <v>0</v>
      </c>
      <c r="AR83" s="7"/>
      <c r="AS83" s="6" t="s">
        <v>77</v>
      </c>
      <c r="AT83" s="6" t="s">
        <v>77</v>
      </c>
      <c r="AU83" s="6" t="s">
        <v>757</v>
      </c>
    </row>
    <row r="84" spans="1:47">
      <c r="A84" t="str">
        <f t="shared" si="1"/>
        <v>TRM-024</v>
      </c>
      <c r="B84" s="5" t="s">
        <v>52</v>
      </c>
      <c r="C84" s="6" t="s">
        <v>53</v>
      </c>
      <c r="D84" s="7">
        <v>46239</v>
      </c>
      <c r="E84" s="7">
        <v>2958465</v>
      </c>
      <c r="F84" s="6" t="s">
        <v>758</v>
      </c>
      <c r="G84" s="6" t="s">
        <v>55</v>
      </c>
      <c r="H84" s="6" t="s">
        <v>56</v>
      </c>
      <c r="I84" s="6" t="s">
        <v>57</v>
      </c>
      <c r="J84" s="6" t="s">
        <v>58</v>
      </c>
      <c r="K84" s="6" t="s">
        <v>466</v>
      </c>
      <c r="L84" s="6" t="s">
        <v>759</v>
      </c>
      <c r="M84" s="6" t="s">
        <v>742</v>
      </c>
      <c r="N84" s="6" t="s">
        <v>743</v>
      </c>
      <c r="O84" s="6" t="s">
        <v>760</v>
      </c>
      <c r="P84" s="6" t="s">
        <v>121</v>
      </c>
      <c r="Q84" s="6" t="s">
        <v>243</v>
      </c>
      <c r="R84" s="6" t="s">
        <v>66</v>
      </c>
      <c r="S84" s="6" t="s">
        <v>705</v>
      </c>
      <c r="T84" s="6" t="s">
        <v>68</v>
      </c>
      <c r="U84" s="6" t="s">
        <v>761</v>
      </c>
      <c r="V84" s="6" t="s">
        <v>65</v>
      </c>
      <c r="W84" s="6" t="s">
        <v>70</v>
      </c>
      <c r="X84" s="7"/>
      <c r="Y84" s="6" t="s">
        <v>65</v>
      </c>
      <c r="Z84" s="6" t="s">
        <v>71</v>
      </c>
      <c r="AA84" s="6" t="s">
        <v>71</v>
      </c>
      <c r="AB84" s="8">
        <v>0</v>
      </c>
      <c r="AC84" s="7">
        <v>46021</v>
      </c>
      <c r="AD84" s="7">
        <v>45911</v>
      </c>
      <c r="AE84" s="7">
        <v>46386</v>
      </c>
      <c r="AF84" s="7">
        <v>46276</v>
      </c>
      <c r="AG84" s="6" t="s">
        <v>72</v>
      </c>
      <c r="AH84" s="6" t="s">
        <v>73</v>
      </c>
      <c r="AI84" s="6" t="s">
        <v>762</v>
      </c>
      <c r="AJ84" s="7">
        <v>46582</v>
      </c>
      <c r="AK84" s="6" t="s">
        <v>65</v>
      </c>
      <c r="AL84" s="6" t="s">
        <v>763</v>
      </c>
      <c r="AM84" s="6" t="s">
        <v>764</v>
      </c>
      <c r="AN84" s="9">
        <v>39222.99</v>
      </c>
      <c r="AO84" s="9">
        <v>66617.929999999993</v>
      </c>
      <c r="AP84" s="6" t="s">
        <v>73</v>
      </c>
      <c r="AQ84" s="8">
        <v>0</v>
      </c>
      <c r="AR84" s="7"/>
      <c r="AS84" s="6" t="s">
        <v>77</v>
      </c>
      <c r="AT84" s="6" t="s">
        <v>77</v>
      </c>
      <c r="AU84" s="6" t="s">
        <v>765</v>
      </c>
    </row>
    <row r="85" spans="1:47">
      <c r="A85" t="str">
        <f t="shared" si="1"/>
        <v>VAS-006</v>
      </c>
      <c r="B85" s="5" t="s">
        <v>52</v>
      </c>
      <c r="C85" s="6" t="s">
        <v>53</v>
      </c>
      <c r="D85" s="7">
        <v>46249</v>
      </c>
      <c r="E85" s="7">
        <v>2958465</v>
      </c>
      <c r="F85" s="6" t="s">
        <v>766</v>
      </c>
      <c r="G85" s="6" t="s">
        <v>93</v>
      </c>
      <c r="H85" s="6" t="s">
        <v>94</v>
      </c>
      <c r="I85" s="6" t="s">
        <v>95</v>
      </c>
      <c r="J85" s="6" t="s">
        <v>96</v>
      </c>
      <c r="K85" s="6" t="s">
        <v>466</v>
      </c>
      <c r="L85" s="6" t="s">
        <v>767</v>
      </c>
      <c r="M85" s="6" t="s">
        <v>768</v>
      </c>
      <c r="N85" s="6" t="s">
        <v>769</v>
      </c>
      <c r="O85" s="6" t="s">
        <v>770</v>
      </c>
      <c r="P85" s="6" t="s">
        <v>771</v>
      </c>
      <c r="Q85" s="6" t="s">
        <v>172</v>
      </c>
      <c r="R85" s="6" t="s">
        <v>66</v>
      </c>
      <c r="S85" s="6" t="s">
        <v>485</v>
      </c>
      <c r="T85" s="6" t="s">
        <v>68</v>
      </c>
      <c r="U85" s="6" t="s">
        <v>772</v>
      </c>
      <c r="V85" s="6" t="s">
        <v>65</v>
      </c>
      <c r="W85" s="6" t="s">
        <v>70</v>
      </c>
      <c r="X85" s="7"/>
      <c r="Y85" s="6" t="s">
        <v>65</v>
      </c>
      <c r="Z85" s="6" t="s">
        <v>71</v>
      </c>
      <c r="AA85" s="6" t="s">
        <v>71</v>
      </c>
      <c r="AB85" s="8">
        <v>110000</v>
      </c>
      <c r="AC85" s="7">
        <v>46196</v>
      </c>
      <c r="AD85" s="7">
        <v>45911</v>
      </c>
      <c r="AE85" s="7">
        <v>46561</v>
      </c>
      <c r="AF85" s="7">
        <v>46276</v>
      </c>
      <c r="AG85" s="6" t="s">
        <v>72</v>
      </c>
      <c r="AH85" s="6" t="s">
        <v>73</v>
      </c>
      <c r="AI85" s="6" t="s">
        <v>773</v>
      </c>
      <c r="AJ85" s="7">
        <v>46561</v>
      </c>
      <c r="AK85" s="6" t="s">
        <v>74</v>
      </c>
      <c r="AL85" s="6" t="s">
        <v>774</v>
      </c>
      <c r="AM85" s="6" t="s">
        <v>775</v>
      </c>
      <c r="AN85" s="9">
        <v>30300</v>
      </c>
      <c r="AO85" s="9">
        <v>33297.03</v>
      </c>
      <c r="AP85" s="6" t="s">
        <v>73</v>
      </c>
      <c r="AQ85" s="8">
        <v>2500000</v>
      </c>
      <c r="AR85" s="7">
        <v>45236</v>
      </c>
      <c r="AS85" s="6" t="s">
        <v>77</v>
      </c>
      <c r="AT85" s="6" t="s">
        <v>77</v>
      </c>
      <c r="AU85" s="6" t="s">
        <v>776</v>
      </c>
    </row>
    <row r="86" spans="1:47">
      <c r="A86" t="str">
        <f t="shared" si="1"/>
        <v>KAM-467</v>
      </c>
      <c r="B86" s="5" t="s">
        <v>52</v>
      </c>
      <c r="C86" s="6" t="s">
        <v>53</v>
      </c>
      <c r="D86" s="7">
        <v>46252</v>
      </c>
      <c r="E86" s="7">
        <v>2958465</v>
      </c>
      <c r="F86" s="6" t="s">
        <v>777</v>
      </c>
      <c r="G86" s="6" t="s">
        <v>55</v>
      </c>
      <c r="H86" s="6" t="s">
        <v>56</v>
      </c>
      <c r="I86" s="6" t="s">
        <v>57</v>
      </c>
      <c r="J86" s="6" t="s">
        <v>58</v>
      </c>
      <c r="K86" s="6" t="s">
        <v>778</v>
      </c>
      <c r="L86" s="6" t="s">
        <v>779</v>
      </c>
      <c r="M86" s="6" t="s">
        <v>780</v>
      </c>
      <c r="N86" s="6" t="s">
        <v>781</v>
      </c>
      <c r="O86" s="6" t="s">
        <v>782</v>
      </c>
      <c r="P86" s="6" t="s">
        <v>64</v>
      </c>
      <c r="Q86" s="6" t="s">
        <v>172</v>
      </c>
      <c r="R86" s="6" t="s">
        <v>66</v>
      </c>
      <c r="S86" s="6" t="s">
        <v>778</v>
      </c>
      <c r="T86" s="6" t="s">
        <v>68</v>
      </c>
      <c r="U86" s="6" t="s">
        <v>783</v>
      </c>
      <c r="V86" s="6" t="s">
        <v>487</v>
      </c>
      <c r="W86" s="6" t="s">
        <v>784</v>
      </c>
      <c r="X86" s="7">
        <v>45076</v>
      </c>
      <c r="Y86" s="6" t="s">
        <v>65</v>
      </c>
      <c r="Z86" s="6" t="s">
        <v>71</v>
      </c>
      <c r="AA86" s="6" t="s">
        <v>71</v>
      </c>
      <c r="AB86" s="8">
        <v>35000</v>
      </c>
      <c r="AC86" s="7">
        <v>46143</v>
      </c>
      <c r="AD86" s="7">
        <v>45911</v>
      </c>
      <c r="AE86" s="7">
        <v>46506</v>
      </c>
      <c r="AF86" s="7">
        <v>46276</v>
      </c>
      <c r="AG86" s="6" t="s">
        <v>72</v>
      </c>
      <c r="AH86" s="6" t="s">
        <v>73</v>
      </c>
      <c r="AI86" s="6" t="s">
        <v>785</v>
      </c>
      <c r="AJ86" s="7">
        <v>46550</v>
      </c>
      <c r="AK86" s="6" t="s">
        <v>74</v>
      </c>
      <c r="AL86" s="6" t="s">
        <v>786</v>
      </c>
      <c r="AM86" s="6" t="s">
        <v>787</v>
      </c>
      <c r="AN86" s="9">
        <v>16475.98</v>
      </c>
      <c r="AO86" s="9">
        <v>5118.2700000000004</v>
      </c>
      <c r="AP86" s="6" t="s">
        <v>73</v>
      </c>
      <c r="AQ86" s="8">
        <v>540000</v>
      </c>
      <c r="AR86" s="7">
        <v>45191</v>
      </c>
      <c r="AS86" s="6" t="s">
        <v>77</v>
      </c>
      <c r="AT86" s="6" t="s">
        <v>77</v>
      </c>
      <c r="AU86" s="6" t="s">
        <v>788</v>
      </c>
    </row>
    <row r="87" spans="1:47">
      <c r="A87" t="str">
        <f t="shared" si="1"/>
        <v>KAM-502</v>
      </c>
      <c r="B87" s="5" t="s">
        <v>52</v>
      </c>
      <c r="C87" s="6" t="s">
        <v>53</v>
      </c>
      <c r="D87" s="7">
        <v>46252</v>
      </c>
      <c r="E87" s="7">
        <v>2958465</v>
      </c>
      <c r="F87" s="6" t="s">
        <v>789</v>
      </c>
      <c r="G87" s="6" t="s">
        <v>55</v>
      </c>
      <c r="H87" s="6" t="s">
        <v>56</v>
      </c>
      <c r="I87" s="6" t="s">
        <v>57</v>
      </c>
      <c r="J87" s="6" t="s">
        <v>58</v>
      </c>
      <c r="K87" s="6" t="s">
        <v>778</v>
      </c>
      <c r="L87" s="6" t="s">
        <v>790</v>
      </c>
      <c r="M87" s="6" t="s">
        <v>780</v>
      </c>
      <c r="N87" s="6" t="s">
        <v>781</v>
      </c>
      <c r="O87" s="6" t="s">
        <v>791</v>
      </c>
      <c r="P87" s="6" t="s">
        <v>64</v>
      </c>
      <c r="Q87" s="6" t="s">
        <v>172</v>
      </c>
      <c r="R87" s="6" t="s">
        <v>66</v>
      </c>
      <c r="S87" s="6" t="s">
        <v>778</v>
      </c>
      <c r="T87" s="6" t="s">
        <v>68</v>
      </c>
      <c r="U87" s="6" t="s">
        <v>792</v>
      </c>
      <c r="V87" s="6" t="s">
        <v>487</v>
      </c>
      <c r="W87" s="6" t="s">
        <v>793</v>
      </c>
      <c r="X87" s="7">
        <v>45076</v>
      </c>
      <c r="Y87" s="6" t="s">
        <v>65</v>
      </c>
      <c r="Z87" s="6" t="s">
        <v>71</v>
      </c>
      <c r="AA87" s="6" t="s">
        <v>71</v>
      </c>
      <c r="AB87" s="8">
        <v>35000</v>
      </c>
      <c r="AC87" s="7">
        <v>46143</v>
      </c>
      <c r="AD87" s="7">
        <v>45911</v>
      </c>
      <c r="AE87" s="7">
        <v>46506</v>
      </c>
      <c r="AF87" s="7">
        <v>46276</v>
      </c>
      <c r="AG87" s="6" t="s">
        <v>72</v>
      </c>
      <c r="AH87" s="6" t="s">
        <v>73</v>
      </c>
      <c r="AI87" s="6" t="s">
        <v>794</v>
      </c>
      <c r="AJ87" s="7">
        <v>46564</v>
      </c>
      <c r="AK87" s="6" t="s">
        <v>74</v>
      </c>
      <c r="AL87" s="6" t="s">
        <v>795</v>
      </c>
      <c r="AM87" s="6" t="s">
        <v>796</v>
      </c>
      <c r="AN87" s="9">
        <v>16475.98</v>
      </c>
      <c r="AO87" s="9">
        <v>5118.2700000000004</v>
      </c>
      <c r="AP87" s="6" t="s">
        <v>73</v>
      </c>
      <c r="AQ87" s="8">
        <v>540000</v>
      </c>
      <c r="AR87" s="7">
        <v>45191</v>
      </c>
      <c r="AS87" s="6" t="s">
        <v>77</v>
      </c>
      <c r="AT87" s="6" t="s">
        <v>77</v>
      </c>
      <c r="AU87" s="6" t="s">
        <v>797</v>
      </c>
    </row>
    <row r="88" spans="1:47">
      <c r="A88" t="str">
        <f t="shared" si="1"/>
        <v>PUP-109</v>
      </c>
      <c r="B88" s="5" t="s">
        <v>52</v>
      </c>
      <c r="C88" s="6" t="s">
        <v>53</v>
      </c>
      <c r="D88" s="7">
        <v>46147</v>
      </c>
      <c r="E88" s="7">
        <v>2958465</v>
      </c>
      <c r="F88" s="6" t="s">
        <v>798</v>
      </c>
      <c r="G88" s="6" t="s">
        <v>55</v>
      </c>
      <c r="H88" s="6" t="s">
        <v>56</v>
      </c>
      <c r="I88" s="6" t="s">
        <v>57</v>
      </c>
      <c r="J88" s="6" t="s">
        <v>58</v>
      </c>
      <c r="K88" s="6" t="s">
        <v>778</v>
      </c>
      <c r="L88" s="6" t="s">
        <v>799</v>
      </c>
      <c r="M88" s="6" t="s">
        <v>800</v>
      </c>
      <c r="N88" s="6" t="s">
        <v>801</v>
      </c>
      <c r="O88" s="6" t="s">
        <v>802</v>
      </c>
      <c r="P88" s="6" t="s">
        <v>484</v>
      </c>
      <c r="Q88" s="6" t="s">
        <v>172</v>
      </c>
      <c r="R88" s="6" t="s">
        <v>66</v>
      </c>
      <c r="S88" s="6" t="s">
        <v>803</v>
      </c>
      <c r="T88" s="6" t="s">
        <v>68</v>
      </c>
      <c r="U88" s="6" t="s">
        <v>804</v>
      </c>
      <c r="V88" s="6" t="s">
        <v>487</v>
      </c>
      <c r="W88" s="6" t="s">
        <v>805</v>
      </c>
      <c r="X88" s="7"/>
      <c r="Y88" s="6" t="s">
        <v>65</v>
      </c>
      <c r="Z88" s="6" t="s">
        <v>71</v>
      </c>
      <c r="AA88" s="6" t="s">
        <v>71</v>
      </c>
      <c r="AB88" s="8">
        <v>45000</v>
      </c>
      <c r="AC88" s="7">
        <v>45958</v>
      </c>
      <c r="AD88" s="7">
        <v>45911</v>
      </c>
      <c r="AE88" s="7">
        <v>46323</v>
      </c>
      <c r="AF88" s="7">
        <v>46276</v>
      </c>
      <c r="AG88" s="6" t="s">
        <v>72</v>
      </c>
      <c r="AH88" s="6" t="s">
        <v>73</v>
      </c>
      <c r="AI88" s="6" t="s">
        <v>806</v>
      </c>
      <c r="AJ88" s="7">
        <v>46328</v>
      </c>
      <c r="AK88" s="6" t="s">
        <v>74</v>
      </c>
      <c r="AL88" s="6" t="s">
        <v>807</v>
      </c>
      <c r="AM88" s="6" t="s">
        <v>808</v>
      </c>
      <c r="AN88" s="9">
        <v>9785.2900000000009</v>
      </c>
      <c r="AO88" s="9">
        <v>9785.2900000000009</v>
      </c>
      <c r="AP88" s="6" t="s">
        <v>73</v>
      </c>
      <c r="AQ88" s="8">
        <v>1000000</v>
      </c>
      <c r="AR88" s="7">
        <v>45236</v>
      </c>
      <c r="AS88" s="6" t="s">
        <v>77</v>
      </c>
      <c r="AT88" s="6" t="s">
        <v>77</v>
      </c>
      <c r="AU88" s="6" t="s">
        <v>809</v>
      </c>
    </row>
    <row r="89" spans="1:47">
      <c r="A89" t="str">
        <f t="shared" si="1"/>
        <v>PUP-111</v>
      </c>
      <c r="B89" s="5" t="s">
        <v>52</v>
      </c>
      <c r="C89" s="6" t="s">
        <v>53</v>
      </c>
      <c r="D89" s="7">
        <v>46209</v>
      </c>
      <c r="E89" s="7">
        <v>2958465</v>
      </c>
      <c r="F89" s="6" t="s">
        <v>810</v>
      </c>
      <c r="G89" s="6" t="s">
        <v>55</v>
      </c>
      <c r="H89" s="6" t="s">
        <v>56</v>
      </c>
      <c r="I89" s="6" t="s">
        <v>57</v>
      </c>
      <c r="J89" s="6" t="s">
        <v>58</v>
      </c>
      <c r="K89" s="6" t="s">
        <v>778</v>
      </c>
      <c r="L89" s="6" t="s">
        <v>811</v>
      </c>
      <c r="M89" s="6" t="s">
        <v>800</v>
      </c>
      <c r="N89" s="6" t="s">
        <v>801</v>
      </c>
      <c r="O89" s="6" t="s">
        <v>812</v>
      </c>
      <c r="P89" s="6" t="s">
        <v>484</v>
      </c>
      <c r="Q89" s="6" t="s">
        <v>214</v>
      </c>
      <c r="R89" s="6" t="s">
        <v>66</v>
      </c>
      <c r="S89" s="6" t="s">
        <v>803</v>
      </c>
      <c r="T89" s="6" t="s">
        <v>68</v>
      </c>
      <c r="U89" s="6" t="s">
        <v>813</v>
      </c>
      <c r="V89" s="6" t="s">
        <v>487</v>
      </c>
      <c r="W89" s="6" t="s">
        <v>805</v>
      </c>
      <c r="X89" s="7"/>
      <c r="Y89" s="6" t="s">
        <v>65</v>
      </c>
      <c r="Z89" s="6" t="s">
        <v>71</v>
      </c>
      <c r="AA89" s="6" t="s">
        <v>71</v>
      </c>
      <c r="AB89" s="8">
        <v>45000</v>
      </c>
      <c r="AC89" s="7">
        <v>45958</v>
      </c>
      <c r="AD89" s="7">
        <v>45911</v>
      </c>
      <c r="AE89" s="7">
        <v>46323</v>
      </c>
      <c r="AF89" s="7">
        <v>46276</v>
      </c>
      <c r="AG89" s="6" t="s">
        <v>72</v>
      </c>
      <c r="AH89" s="6" t="s">
        <v>73</v>
      </c>
      <c r="AI89" s="6" t="s">
        <v>814</v>
      </c>
      <c r="AJ89" s="7">
        <v>46596</v>
      </c>
      <c r="AK89" s="6" t="s">
        <v>74</v>
      </c>
      <c r="AL89" s="6" t="s">
        <v>815</v>
      </c>
      <c r="AM89" s="6" t="s">
        <v>816</v>
      </c>
      <c r="AN89" s="9">
        <v>9785.2900000000009</v>
      </c>
      <c r="AO89" s="9">
        <v>9785.2900000000009</v>
      </c>
      <c r="AP89" s="6" t="s">
        <v>73</v>
      </c>
      <c r="AQ89" s="8">
        <v>950000</v>
      </c>
      <c r="AR89" s="7">
        <v>45236</v>
      </c>
      <c r="AS89" s="6" t="s">
        <v>77</v>
      </c>
      <c r="AT89" s="6" t="s">
        <v>77</v>
      </c>
      <c r="AU89" s="6" t="s">
        <v>817</v>
      </c>
    </row>
    <row r="90" spans="1:47">
      <c r="A90" t="str">
        <f t="shared" si="1"/>
        <v>PUP-120</v>
      </c>
      <c r="B90" s="5" t="s">
        <v>52</v>
      </c>
      <c r="C90" s="6" t="s">
        <v>53</v>
      </c>
      <c r="D90" s="7">
        <v>46244</v>
      </c>
      <c r="E90" s="7">
        <v>2958465</v>
      </c>
      <c r="F90" s="6" t="s">
        <v>818</v>
      </c>
      <c r="G90" s="6" t="s">
        <v>55</v>
      </c>
      <c r="H90" s="6" t="s">
        <v>56</v>
      </c>
      <c r="I90" s="6" t="s">
        <v>57</v>
      </c>
      <c r="J90" s="6" t="s">
        <v>58</v>
      </c>
      <c r="K90" s="6" t="s">
        <v>778</v>
      </c>
      <c r="L90" s="6" t="s">
        <v>819</v>
      </c>
      <c r="M90" s="6" t="s">
        <v>820</v>
      </c>
      <c r="N90" s="6" t="s">
        <v>821</v>
      </c>
      <c r="O90" s="6" t="s">
        <v>822</v>
      </c>
      <c r="P90" s="6" t="s">
        <v>484</v>
      </c>
      <c r="Q90" s="6" t="s">
        <v>85</v>
      </c>
      <c r="R90" s="6" t="s">
        <v>66</v>
      </c>
      <c r="S90" s="6" t="s">
        <v>803</v>
      </c>
      <c r="T90" s="6" t="s">
        <v>68</v>
      </c>
      <c r="U90" s="6" t="s">
        <v>823</v>
      </c>
      <c r="V90" s="6" t="s">
        <v>487</v>
      </c>
      <c r="W90" s="6" t="s">
        <v>70</v>
      </c>
      <c r="X90" s="7"/>
      <c r="Y90" s="6" t="s">
        <v>65</v>
      </c>
      <c r="Z90" s="6" t="s">
        <v>71</v>
      </c>
      <c r="AA90" s="6" t="s">
        <v>71</v>
      </c>
      <c r="AB90" s="8">
        <v>0</v>
      </c>
      <c r="AC90" s="7">
        <v>46024</v>
      </c>
      <c r="AD90" s="7">
        <v>45911</v>
      </c>
      <c r="AE90" s="7">
        <v>46389</v>
      </c>
      <c r="AF90" s="7">
        <v>46276</v>
      </c>
      <c r="AG90" s="6" t="s">
        <v>72</v>
      </c>
      <c r="AH90" s="6" t="s">
        <v>73</v>
      </c>
      <c r="AI90" s="6" t="s">
        <v>824</v>
      </c>
      <c r="AJ90" s="7">
        <v>46329</v>
      </c>
      <c r="AK90" s="6" t="s">
        <v>65</v>
      </c>
      <c r="AL90" s="6" t="s">
        <v>825</v>
      </c>
      <c r="AM90" s="6" t="s">
        <v>826</v>
      </c>
      <c r="AN90" s="9">
        <v>13865.01</v>
      </c>
      <c r="AO90" s="9">
        <v>19192.5</v>
      </c>
      <c r="AP90" s="6" t="s">
        <v>827</v>
      </c>
      <c r="AQ90" s="8">
        <v>1392000</v>
      </c>
      <c r="AR90" s="7">
        <v>45657</v>
      </c>
      <c r="AS90" s="6" t="s">
        <v>77</v>
      </c>
      <c r="AT90" s="6" t="s">
        <v>77</v>
      </c>
      <c r="AU90" s="6" t="s">
        <v>828</v>
      </c>
    </row>
    <row r="91" spans="1:47">
      <c r="A91" t="str">
        <f t="shared" si="1"/>
        <v>PUP-124</v>
      </c>
      <c r="B91" s="5" t="s">
        <v>52</v>
      </c>
      <c r="C91" s="6" t="s">
        <v>53</v>
      </c>
      <c r="D91" s="7">
        <v>46251</v>
      </c>
      <c r="E91" s="7">
        <v>2958465</v>
      </c>
      <c r="F91" s="6" t="s">
        <v>829</v>
      </c>
      <c r="G91" s="6" t="s">
        <v>93</v>
      </c>
      <c r="H91" s="6" t="s">
        <v>94</v>
      </c>
      <c r="I91" s="6" t="s">
        <v>95</v>
      </c>
      <c r="J91" s="6" t="s">
        <v>96</v>
      </c>
      <c r="K91" s="6" t="s">
        <v>778</v>
      </c>
      <c r="L91" s="6" t="s">
        <v>830</v>
      </c>
      <c r="M91" s="6" t="s">
        <v>831</v>
      </c>
      <c r="N91" s="6" t="s">
        <v>832</v>
      </c>
      <c r="O91" s="6" t="s">
        <v>833</v>
      </c>
      <c r="P91" s="6" t="s">
        <v>471</v>
      </c>
      <c r="Q91" s="6" t="s">
        <v>110</v>
      </c>
      <c r="R91" s="6" t="s">
        <v>66</v>
      </c>
      <c r="S91" s="6" t="s">
        <v>803</v>
      </c>
      <c r="T91" s="6" t="s">
        <v>68</v>
      </c>
      <c r="U91" s="6" t="s">
        <v>834</v>
      </c>
      <c r="V91" s="6" t="s">
        <v>65</v>
      </c>
      <c r="W91" s="6" t="s">
        <v>70</v>
      </c>
      <c r="X91" s="7"/>
      <c r="Y91" s="6" t="s">
        <v>65</v>
      </c>
      <c r="Z91" s="6" t="s">
        <v>65</v>
      </c>
      <c r="AA91" s="6" t="s">
        <v>65</v>
      </c>
      <c r="AB91" s="8">
        <v>0</v>
      </c>
      <c r="AC91" s="7"/>
      <c r="AD91" s="7"/>
      <c r="AE91" s="7"/>
      <c r="AF91" s="7"/>
      <c r="AG91" s="6" t="s">
        <v>72</v>
      </c>
      <c r="AH91" s="6" t="s">
        <v>73</v>
      </c>
      <c r="AI91" s="6" t="s">
        <v>835</v>
      </c>
      <c r="AJ91" s="7">
        <v>46517</v>
      </c>
      <c r="AK91" s="6" t="s">
        <v>65</v>
      </c>
      <c r="AL91" s="6" t="s">
        <v>65</v>
      </c>
      <c r="AM91" s="6" t="s">
        <v>65</v>
      </c>
      <c r="AN91" s="9">
        <v>0</v>
      </c>
      <c r="AO91" s="9">
        <v>0</v>
      </c>
      <c r="AP91" s="6" t="s">
        <v>113</v>
      </c>
      <c r="AQ91" s="8">
        <v>2240000</v>
      </c>
      <c r="AR91" s="7">
        <v>46235</v>
      </c>
      <c r="AS91" s="6" t="s">
        <v>65</v>
      </c>
      <c r="AT91" s="6" t="s">
        <v>65</v>
      </c>
      <c r="AU91" s="6" t="s">
        <v>836</v>
      </c>
    </row>
    <row r="92" spans="1:47">
      <c r="A92" t="str">
        <f t="shared" si="1"/>
        <v>PUP-125</v>
      </c>
      <c r="B92" s="5" t="s">
        <v>52</v>
      </c>
      <c r="C92" s="6" t="s">
        <v>53</v>
      </c>
      <c r="D92" s="7">
        <v>46261</v>
      </c>
      <c r="E92" s="7">
        <v>2958465</v>
      </c>
      <c r="F92" s="6" t="s">
        <v>837</v>
      </c>
      <c r="G92" s="6" t="s">
        <v>93</v>
      </c>
      <c r="H92" s="6" t="s">
        <v>94</v>
      </c>
      <c r="I92" s="6" t="s">
        <v>95</v>
      </c>
      <c r="J92" s="6" t="s">
        <v>96</v>
      </c>
      <c r="K92" s="6" t="s">
        <v>778</v>
      </c>
      <c r="L92" s="6" t="s">
        <v>838</v>
      </c>
      <c r="M92" s="6" t="s">
        <v>831</v>
      </c>
      <c r="N92" s="6" t="s">
        <v>832</v>
      </c>
      <c r="O92" s="6" t="s">
        <v>839</v>
      </c>
      <c r="P92" s="6" t="s">
        <v>471</v>
      </c>
      <c r="Q92" s="6" t="s">
        <v>110</v>
      </c>
      <c r="R92" s="6" t="s">
        <v>66</v>
      </c>
      <c r="S92" s="6" t="s">
        <v>803</v>
      </c>
      <c r="T92" s="6" t="s">
        <v>68</v>
      </c>
      <c r="U92" s="6" t="s">
        <v>840</v>
      </c>
      <c r="V92" s="6" t="s">
        <v>65</v>
      </c>
      <c r="W92" s="6" t="s">
        <v>70</v>
      </c>
      <c r="X92" s="7"/>
      <c r="Y92" s="6" t="s">
        <v>65</v>
      </c>
      <c r="Z92" s="6" t="s">
        <v>65</v>
      </c>
      <c r="AA92" s="6" t="s">
        <v>65</v>
      </c>
      <c r="AB92" s="8">
        <v>0</v>
      </c>
      <c r="AC92" s="7"/>
      <c r="AD92" s="7"/>
      <c r="AE92" s="7"/>
      <c r="AF92" s="7"/>
      <c r="AG92" s="6" t="s">
        <v>72</v>
      </c>
      <c r="AH92" s="6" t="s">
        <v>73</v>
      </c>
      <c r="AI92" s="6" t="s">
        <v>841</v>
      </c>
      <c r="AJ92" s="7">
        <v>46514</v>
      </c>
      <c r="AK92" s="6" t="s">
        <v>65</v>
      </c>
      <c r="AL92" s="6" t="s">
        <v>65</v>
      </c>
      <c r="AM92" s="6" t="s">
        <v>65</v>
      </c>
      <c r="AN92" s="9">
        <v>0</v>
      </c>
      <c r="AO92" s="9">
        <v>0</v>
      </c>
      <c r="AP92" s="6" t="s">
        <v>113</v>
      </c>
      <c r="AQ92" s="8">
        <v>2240000</v>
      </c>
      <c r="AR92" s="7">
        <v>46235</v>
      </c>
      <c r="AS92" s="6" t="s">
        <v>65</v>
      </c>
      <c r="AT92" s="6" t="s">
        <v>65</v>
      </c>
      <c r="AU92" s="6" t="s">
        <v>842</v>
      </c>
    </row>
    <row r="93" spans="1:47">
      <c r="A93" t="str">
        <f t="shared" si="1"/>
        <v>PUP-126</v>
      </c>
      <c r="B93" s="5" t="s">
        <v>52</v>
      </c>
      <c r="C93" s="6" t="s">
        <v>53</v>
      </c>
      <c r="D93" s="7">
        <v>46251</v>
      </c>
      <c r="E93" s="7">
        <v>2958465</v>
      </c>
      <c r="F93" s="6" t="s">
        <v>843</v>
      </c>
      <c r="G93" s="6" t="s">
        <v>93</v>
      </c>
      <c r="H93" s="6" t="s">
        <v>94</v>
      </c>
      <c r="I93" s="6" t="s">
        <v>95</v>
      </c>
      <c r="J93" s="6" t="s">
        <v>96</v>
      </c>
      <c r="K93" s="6" t="s">
        <v>778</v>
      </c>
      <c r="L93" s="6" t="s">
        <v>844</v>
      </c>
      <c r="M93" s="6" t="s">
        <v>831</v>
      </c>
      <c r="N93" s="6" t="s">
        <v>832</v>
      </c>
      <c r="O93" s="6" t="s">
        <v>845</v>
      </c>
      <c r="P93" s="6" t="s">
        <v>471</v>
      </c>
      <c r="Q93" s="6" t="s">
        <v>110</v>
      </c>
      <c r="R93" s="6" t="s">
        <v>66</v>
      </c>
      <c r="S93" s="6" t="s">
        <v>803</v>
      </c>
      <c r="T93" s="6" t="s">
        <v>68</v>
      </c>
      <c r="U93" s="6" t="s">
        <v>846</v>
      </c>
      <c r="V93" s="6" t="s">
        <v>65</v>
      </c>
      <c r="W93" s="6" t="s">
        <v>70</v>
      </c>
      <c r="X93" s="7"/>
      <c r="Y93" s="6" t="s">
        <v>65</v>
      </c>
      <c r="Z93" s="6" t="s">
        <v>65</v>
      </c>
      <c r="AA93" s="6" t="s">
        <v>65</v>
      </c>
      <c r="AB93" s="8">
        <v>0</v>
      </c>
      <c r="AC93" s="7"/>
      <c r="AD93" s="7"/>
      <c r="AE93" s="7"/>
      <c r="AF93" s="7"/>
      <c r="AG93" s="6" t="s">
        <v>72</v>
      </c>
      <c r="AH93" s="6" t="s">
        <v>73</v>
      </c>
      <c r="AI93" s="6" t="s">
        <v>847</v>
      </c>
      <c r="AJ93" s="7">
        <v>46514</v>
      </c>
      <c r="AK93" s="6" t="s">
        <v>65</v>
      </c>
      <c r="AL93" s="6" t="s">
        <v>65</v>
      </c>
      <c r="AM93" s="6" t="s">
        <v>65</v>
      </c>
      <c r="AN93" s="9">
        <v>0</v>
      </c>
      <c r="AO93" s="9">
        <v>0</v>
      </c>
      <c r="AP93" s="6" t="s">
        <v>113</v>
      </c>
      <c r="AQ93" s="8">
        <v>2240000</v>
      </c>
      <c r="AR93" s="7">
        <v>46235</v>
      </c>
      <c r="AS93" s="6" t="s">
        <v>65</v>
      </c>
      <c r="AT93" s="6" t="s">
        <v>65</v>
      </c>
      <c r="AU93" s="6" t="s">
        <v>848</v>
      </c>
    </row>
    <row r="94" spans="1:47">
      <c r="A94" t="str">
        <f t="shared" si="1"/>
        <v>PUP-128</v>
      </c>
      <c r="B94" s="5" t="s">
        <v>52</v>
      </c>
      <c r="C94" s="6" t="s">
        <v>53</v>
      </c>
      <c r="D94" s="7">
        <v>46253</v>
      </c>
      <c r="E94" s="7">
        <v>2958465</v>
      </c>
      <c r="F94" s="6" t="s">
        <v>849</v>
      </c>
      <c r="G94" s="6" t="s">
        <v>93</v>
      </c>
      <c r="H94" s="6" t="s">
        <v>94</v>
      </c>
      <c r="I94" s="6" t="s">
        <v>95</v>
      </c>
      <c r="J94" s="6" t="s">
        <v>96</v>
      </c>
      <c r="K94" s="6" t="s">
        <v>778</v>
      </c>
      <c r="L94" s="6" t="s">
        <v>850</v>
      </c>
      <c r="M94" s="6" t="s">
        <v>831</v>
      </c>
      <c r="N94" s="6" t="s">
        <v>832</v>
      </c>
      <c r="O94" s="6" t="s">
        <v>851</v>
      </c>
      <c r="P94" s="6" t="s">
        <v>471</v>
      </c>
      <c r="Q94" s="6" t="s">
        <v>110</v>
      </c>
      <c r="R94" s="6" t="s">
        <v>66</v>
      </c>
      <c r="S94" s="6" t="s">
        <v>803</v>
      </c>
      <c r="T94" s="6" t="s">
        <v>68</v>
      </c>
      <c r="U94" s="6" t="s">
        <v>852</v>
      </c>
      <c r="V94" s="6" t="s">
        <v>65</v>
      </c>
      <c r="W94" s="6" t="s">
        <v>70</v>
      </c>
      <c r="X94" s="7"/>
      <c r="Y94" s="6" t="s">
        <v>65</v>
      </c>
      <c r="Z94" s="6" t="s">
        <v>65</v>
      </c>
      <c r="AA94" s="6" t="s">
        <v>65</v>
      </c>
      <c r="AB94" s="8">
        <v>0</v>
      </c>
      <c r="AC94" s="7"/>
      <c r="AD94" s="7"/>
      <c r="AE94" s="7"/>
      <c r="AF94" s="7"/>
      <c r="AG94" s="6" t="s">
        <v>72</v>
      </c>
      <c r="AH94" s="6" t="s">
        <v>73</v>
      </c>
      <c r="AI94" s="6" t="s">
        <v>853</v>
      </c>
      <c r="AJ94" s="7">
        <v>46514</v>
      </c>
      <c r="AK94" s="6" t="s">
        <v>65</v>
      </c>
      <c r="AL94" s="6" t="s">
        <v>65</v>
      </c>
      <c r="AM94" s="6" t="s">
        <v>65</v>
      </c>
      <c r="AN94" s="9">
        <v>0</v>
      </c>
      <c r="AO94" s="9">
        <v>0</v>
      </c>
      <c r="AP94" s="6" t="s">
        <v>113</v>
      </c>
      <c r="AQ94" s="8">
        <v>2240000</v>
      </c>
      <c r="AR94" s="7">
        <v>46235</v>
      </c>
      <c r="AS94" s="6" t="s">
        <v>65</v>
      </c>
      <c r="AT94" s="6" t="s">
        <v>65</v>
      </c>
      <c r="AU94" s="6" t="s">
        <v>854</v>
      </c>
    </row>
    <row r="95" spans="1:47">
      <c r="A95" t="str">
        <f t="shared" si="1"/>
        <v>PUP-130</v>
      </c>
      <c r="B95" s="5" t="s">
        <v>52</v>
      </c>
      <c r="C95" s="6" t="s">
        <v>53</v>
      </c>
      <c r="D95" s="7">
        <v>46255</v>
      </c>
      <c r="E95" s="7">
        <v>2958465</v>
      </c>
      <c r="F95" s="6" t="s">
        <v>855</v>
      </c>
      <c r="G95" s="6" t="s">
        <v>93</v>
      </c>
      <c r="H95" s="6" t="s">
        <v>94</v>
      </c>
      <c r="I95" s="6" t="s">
        <v>95</v>
      </c>
      <c r="J95" s="6" t="s">
        <v>96</v>
      </c>
      <c r="K95" s="6" t="s">
        <v>778</v>
      </c>
      <c r="L95" s="6" t="s">
        <v>856</v>
      </c>
      <c r="M95" s="6" t="s">
        <v>831</v>
      </c>
      <c r="N95" s="6" t="s">
        <v>832</v>
      </c>
      <c r="O95" s="6" t="s">
        <v>857</v>
      </c>
      <c r="P95" s="6" t="s">
        <v>471</v>
      </c>
      <c r="Q95" s="6" t="s">
        <v>110</v>
      </c>
      <c r="R95" s="6" t="s">
        <v>66</v>
      </c>
      <c r="S95" s="6" t="s">
        <v>803</v>
      </c>
      <c r="T95" s="6" t="s">
        <v>68</v>
      </c>
      <c r="U95" s="6" t="s">
        <v>858</v>
      </c>
      <c r="V95" s="6" t="s">
        <v>65</v>
      </c>
      <c r="W95" s="6" t="s">
        <v>70</v>
      </c>
      <c r="X95" s="7"/>
      <c r="Y95" s="6" t="s">
        <v>65</v>
      </c>
      <c r="Z95" s="6" t="s">
        <v>65</v>
      </c>
      <c r="AA95" s="6" t="s">
        <v>65</v>
      </c>
      <c r="AB95" s="8">
        <v>0</v>
      </c>
      <c r="AC95" s="7"/>
      <c r="AD95" s="7"/>
      <c r="AE95" s="7"/>
      <c r="AF95" s="7"/>
      <c r="AG95" s="6" t="s">
        <v>72</v>
      </c>
      <c r="AH95" s="6" t="s">
        <v>73</v>
      </c>
      <c r="AI95" s="6" t="s">
        <v>859</v>
      </c>
      <c r="AJ95" s="7">
        <v>46503</v>
      </c>
      <c r="AK95" s="6" t="s">
        <v>65</v>
      </c>
      <c r="AL95" s="6" t="s">
        <v>65</v>
      </c>
      <c r="AM95" s="6" t="s">
        <v>65</v>
      </c>
      <c r="AN95" s="9">
        <v>0</v>
      </c>
      <c r="AO95" s="9">
        <v>0</v>
      </c>
      <c r="AP95" s="6" t="s">
        <v>113</v>
      </c>
      <c r="AQ95" s="8">
        <v>2240000</v>
      </c>
      <c r="AR95" s="7">
        <v>46235</v>
      </c>
      <c r="AS95" s="6" t="s">
        <v>65</v>
      </c>
      <c r="AT95" s="6" t="s">
        <v>65</v>
      </c>
      <c r="AU95" s="6" t="s">
        <v>860</v>
      </c>
    </row>
    <row r="96" spans="1:47">
      <c r="A96" t="str">
        <f t="shared" si="1"/>
        <v>PUP-131</v>
      </c>
      <c r="B96" s="5" t="s">
        <v>52</v>
      </c>
      <c r="C96" s="6" t="s">
        <v>53</v>
      </c>
      <c r="D96" s="7">
        <v>46251</v>
      </c>
      <c r="E96" s="7">
        <v>2958465</v>
      </c>
      <c r="F96" s="6" t="s">
        <v>861</v>
      </c>
      <c r="G96" s="6" t="s">
        <v>93</v>
      </c>
      <c r="H96" s="6" t="s">
        <v>94</v>
      </c>
      <c r="I96" s="6" t="s">
        <v>95</v>
      </c>
      <c r="J96" s="6" t="s">
        <v>96</v>
      </c>
      <c r="K96" s="6" t="s">
        <v>778</v>
      </c>
      <c r="L96" s="6" t="s">
        <v>862</v>
      </c>
      <c r="M96" s="6" t="s">
        <v>831</v>
      </c>
      <c r="N96" s="6" t="s">
        <v>832</v>
      </c>
      <c r="O96" s="6" t="s">
        <v>863</v>
      </c>
      <c r="P96" s="6" t="s">
        <v>471</v>
      </c>
      <c r="Q96" s="6" t="s">
        <v>110</v>
      </c>
      <c r="R96" s="6" t="s">
        <v>66</v>
      </c>
      <c r="S96" s="6" t="s">
        <v>803</v>
      </c>
      <c r="T96" s="6" t="s">
        <v>68</v>
      </c>
      <c r="U96" s="6" t="s">
        <v>864</v>
      </c>
      <c r="V96" s="6" t="s">
        <v>65</v>
      </c>
      <c r="W96" s="6" t="s">
        <v>70</v>
      </c>
      <c r="X96" s="7"/>
      <c r="Y96" s="6" t="s">
        <v>65</v>
      </c>
      <c r="Z96" s="6" t="s">
        <v>65</v>
      </c>
      <c r="AA96" s="6" t="s">
        <v>65</v>
      </c>
      <c r="AB96" s="8">
        <v>0</v>
      </c>
      <c r="AC96" s="7"/>
      <c r="AD96" s="7"/>
      <c r="AE96" s="7"/>
      <c r="AF96" s="7"/>
      <c r="AG96" s="6" t="s">
        <v>72</v>
      </c>
      <c r="AH96" s="6" t="s">
        <v>73</v>
      </c>
      <c r="AI96" s="6" t="s">
        <v>865</v>
      </c>
      <c r="AJ96" s="7">
        <v>46503</v>
      </c>
      <c r="AK96" s="6" t="s">
        <v>65</v>
      </c>
      <c r="AL96" s="6" t="s">
        <v>65</v>
      </c>
      <c r="AM96" s="6" t="s">
        <v>65</v>
      </c>
      <c r="AN96" s="9">
        <v>0</v>
      </c>
      <c r="AO96" s="9">
        <v>0</v>
      </c>
      <c r="AP96" s="6" t="s">
        <v>113</v>
      </c>
      <c r="AQ96" s="8">
        <v>2240000</v>
      </c>
      <c r="AR96" s="7">
        <v>46235</v>
      </c>
      <c r="AS96" s="6" t="s">
        <v>65</v>
      </c>
      <c r="AT96" s="6" t="s">
        <v>65</v>
      </c>
      <c r="AU96" s="6" t="s">
        <v>866</v>
      </c>
    </row>
    <row r="97" spans="1:47">
      <c r="A97" t="str">
        <f t="shared" si="1"/>
        <v>PUP-133</v>
      </c>
      <c r="B97" s="5" t="s">
        <v>52</v>
      </c>
      <c r="C97" s="6" t="s">
        <v>53</v>
      </c>
      <c r="D97" s="7">
        <v>46260</v>
      </c>
      <c r="E97" s="7">
        <v>2958465</v>
      </c>
      <c r="F97" s="6" t="s">
        <v>867</v>
      </c>
      <c r="G97" s="6" t="s">
        <v>93</v>
      </c>
      <c r="H97" s="6" t="s">
        <v>94</v>
      </c>
      <c r="I97" s="6" t="s">
        <v>95</v>
      </c>
      <c r="J97" s="6" t="s">
        <v>96</v>
      </c>
      <c r="K97" s="6" t="s">
        <v>778</v>
      </c>
      <c r="L97" s="6" t="s">
        <v>868</v>
      </c>
      <c r="M97" s="6" t="s">
        <v>869</v>
      </c>
      <c r="N97" s="6" t="s">
        <v>870</v>
      </c>
      <c r="O97" s="6" t="s">
        <v>871</v>
      </c>
      <c r="P97" s="6" t="s">
        <v>484</v>
      </c>
      <c r="Q97" s="6" t="s">
        <v>110</v>
      </c>
      <c r="R97" s="6" t="s">
        <v>66</v>
      </c>
      <c r="S97" s="6" t="s">
        <v>803</v>
      </c>
      <c r="T97" s="6" t="s">
        <v>68</v>
      </c>
      <c r="U97" s="6" t="s">
        <v>872</v>
      </c>
      <c r="V97" s="6" t="s">
        <v>65</v>
      </c>
      <c r="W97" s="6" t="s">
        <v>70</v>
      </c>
      <c r="X97" s="7"/>
      <c r="Y97" s="6" t="s">
        <v>65</v>
      </c>
      <c r="Z97" s="6" t="s">
        <v>65</v>
      </c>
      <c r="AA97" s="6" t="s">
        <v>65</v>
      </c>
      <c r="AB97" s="8">
        <v>0</v>
      </c>
      <c r="AC97" s="7"/>
      <c r="AD97" s="7"/>
      <c r="AE97" s="7"/>
      <c r="AF97" s="7"/>
      <c r="AG97" s="6" t="s">
        <v>72</v>
      </c>
      <c r="AH97" s="6" t="s">
        <v>73</v>
      </c>
      <c r="AI97" s="6" t="s">
        <v>873</v>
      </c>
      <c r="AJ97" s="7">
        <v>46584</v>
      </c>
      <c r="AK97" s="6" t="s">
        <v>65</v>
      </c>
      <c r="AL97" s="6" t="s">
        <v>65</v>
      </c>
      <c r="AM97" s="6" t="s">
        <v>65</v>
      </c>
      <c r="AN97" s="9">
        <v>0</v>
      </c>
      <c r="AO97" s="9">
        <v>0</v>
      </c>
      <c r="AP97" s="6" t="s">
        <v>113</v>
      </c>
      <c r="AQ97" s="8">
        <v>1865000</v>
      </c>
      <c r="AR97" s="7">
        <v>46235</v>
      </c>
      <c r="AS97" s="6" t="s">
        <v>65</v>
      </c>
      <c r="AT97" s="6" t="s">
        <v>65</v>
      </c>
      <c r="AU97" s="6" t="s">
        <v>874</v>
      </c>
    </row>
    <row r="98" spans="1:47">
      <c r="A98" t="str">
        <f t="shared" si="1"/>
        <v>PUP-135</v>
      </c>
      <c r="B98" s="5" t="s">
        <v>52</v>
      </c>
      <c r="C98" s="6" t="s">
        <v>53</v>
      </c>
      <c r="D98" s="7">
        <v>46251</v>
      </c>
      <c r="E98" s="7">
        <v>2958465</v>
      </c>
      <c r="F98" s="6" t="s">
        <v>875</v>
      </c>
      <c r="G98" s="6" t="s">
        <v>93</v>
      </c>
      <c r="H98" s="6" t="s">
        <v>94</v>
      </c>
      <c r="I98" s="6" t="s">
        <v>95</v>
      </c>
      <c r="J98" s="6" t="s">
        <v>96</v>
      </c>
      <c r="K98" s="6" t="s">
        <v>778</v>
      </c>
      <c r="L98" s="6" t="s">
        <v>876</v>
      </c>
      <c r="M98" s="6" t="s">
        <v>869</v>
      </c>
      <c r="N98" s="6" t="s">
        <v>870</v>
      </c>
      <c r="O98" s="6" t="s">
        <v>877</v>
      </c>
      <c r="P98" s="6" t="s">
        <v>484</v>
      </c>
      <c r="Q98" s="6" t="s">
        <v>110</v>
      </c>
      <c r="R98" s="6" t="s">
        <v>66</v>
      </c>
      <c r="S98" s="6" t="s">
        <v>803</v>
      </c>
      <c r="T98" s="6" t="s">
        <v>68</v>
      </c>
      <c r="U98" s="6" t="s">
        <v>878</v>
      </c>
      <c r="V98" s="6" t="s">
        <v>65</v>
      </c>
      <c r="W98" s="6" t="s">
        <v>70</v>
      </c>
      <c r="X98" s="7"/>
      <c r="Y98" s="6" t="s">
        <v>65</v>
      </c>
      <c r="Z98" s="6" t="s">
        <v>65</v>
      </c>
      <c r="AA98" s="6" t="s">
        <v>65</v>
      </c>
      <c r="AB98" s="8">
        <v>0</v>
      </c>
      <c r="AC98" s="7"/>
      <c r="AD98" s="7"/>
      <c r="AE98" s="7"/>
      <c r="AF98" s="7"/>
      <c r="AG98" s="6" t="s">
        <v>72</v>
      </c>
      <c r="AH98" s="6" t="s">
        <v>73</v>
      </c>
      <c r="AI98" s="6" t="s">
        <v>879</v>
      </c>
      <c r="AJ98" s="7">
        <v>46587</v>
      </c>
      <c r="AK98" s="6" t="s">
        <v>65</v>
      </c>
      <c r="AL98" s="6" t="s">
        <v>65</v>
      </c>
      <c r="AM98" s="6" t="s">
        <v>65</v>
      </c>
      <c r="AN98" s="9">
        <v>0</v>
      </c>
      <c r="AO98" s="9">
        <v>0</v>
      </c>
      <c r="AP98" s="6" t="s">
        <v>113</v>
      </c>
      <c r="AQ98" s="8">
        <v>1865000</v>
      </c>
      <c r="AR98" s="7">
        <v>46235</v>
      </c>
      <c r="AS98" s="6" t="s">
        <v>65</v>
      </c>
      <c r="AT98" s="6" t="s">
        <v>65</v>
      </c>
      <c r="AU98" s="6" t="s">
        <v>879</v>
      </c>
    </row>
    <row r="99" spans="1:47">
      <c r="A99" t="str">
        <f t="shared" si="1"/>
        <v>PUP-137</v>
      </c>
      <c r="B99" s="5" t="s">
        <v>52</v>
      </c>
      <c r="C99" s="6" t="s">
        <v>53</v>
      </c>
      <c r="D99" s="7">
        <v>46254</v>
      </c>
      <c r="E99" s="7">
        <v>2958465</v>
      </c>
      <c r="F99" s="6" t="s">
        <v>880</v>
      </c>
      <c r="G99" s="6" t="s">
        <v>93</v>
      </c>
      <c r="H99" s="6" t="s">
        <v>94</v>
      </c>
      <c r="I99" s="6" t="s">
        <v>95</v>
      </c>
      <c r="J99" s="6" t="s">
        <v>96</v>
      </c>
      <c r="K99" s="6" t="s">
        <v>778</v>
      </c>
      <c r="L99" s="6" t="s">
        <v>881</v>
      </c>
      <c r="M99" s="6" t="s">
        <v>869</v>
      </c>
      <c r="N99" s="6" t="s">
        <v>870</v>
      </c>
      <c r="O99" s="6" t="s">
        <v>882</v>
      </c>
      <c r="P99" s="6" t="s">
        <v>484</v>
      </c>
      <c r="Q99" s="6" t="s">
        <v>110</v>
      </c>
      <c r="R99" s="6" t="s">
        <v>66</v>
      </c>
      <c r="S99" s="6" t="s">
        <v>803</v>
      </c>
      <c r="T99" s="6" t="s">
        <v>68</v>
      </c>
      <c r="U99" s="6" t="s">
        <v>883</v>
      </c>
      <c r="V99" s="6" t="s">
        <v>65</v>
      </c>
      <c r="W99" s="6" t="s">
        <v>70</v>
      </c>
      <c r="X99" s="7"/>
      <c r="Y99" s="6" t="s">
        <v>65</v>
      </c>
      <c r="Z99" s="6" t="s">
        <v>65</v>
      </c>
      <c r="AA99" s="6" t="s">
        <v>65</v>
      </c>
      <c r="AB99" s="8">
        <v>0</v>
      </c>
      <c r="AC99" s="7"/>
      <c r="AD99" s="7"/>
      <c r="AE99" s="7"/>
      <c r="AF99" s="7"/>
      <c r="AG99" s="6" t="s">
        <v>72</v>
      </c>
      <c r="AH99" s="6" t="s">
        <v>73</v>
      </c>
      <c r="AI99" s="6" t="s">
        <v>884</v>
      </c>
      <c r="AJ99" s="7">
        <v>46589</v>
      </c>
      <c r="AK99" s="6" t="s">
        <v>65</v>
      </c>
      <c r="AL99" s="6" t="s">
        <v>65</v>
      </c>
      <c r="AM99" s="6" t="s">
        <v>65</v>
      </c>
      <c r="AN99" s="9">
        <v>0</v>
      </c>
      <c r="AO99" s="9">
        <v>0</v>
      </c>
      <c r="AP99" s="6" t="s">
        <v>113</v>
      </c>
      <c r="AQ99" s="8">
        <v>1865000</v>
      </c>
      <c r="AR99" s="7">
        <v>46235</v>
      </c>
      <c r="AS99" s="6" t="s">
        <v>65</v>
      </c>
      <c r="AT99" s="6" t="s">
        <v>65</v>
      </c>
      <c r="AU99" s="6" t="s">
        <v>885</v>
      </c>
    </row>
    <row r="100" spans="1:47">
      <c r="A100" t="str">
        <f t="shared" si="1"/>
        <v>PUP-139</v>
      </c>
      <c r="B100" s="5" t="s">
        <v>52</v>
      </c>
      <c r="C100" s="6" t="s">
        <v>53</v>
      </c>
      <c r="D100" s="7">
        <v>46255</v>
      </c>
      <c r="E100" s="7">
        <v>2958465</v>
      </c>
      <c r="F100" s="6" t="s">
        <v>886</v>
      </c>
      <c r="G100" s="6" t="s">
        <v>93</v>
      </c>
      <c r="H100" s="6" t="s">
        <v>94</v>
      </c>
      <c r="I100" s="6" t="s">
        <v>95</v>
      </c>
      <c r="J100" s="6" t="s">
        <v>96</v>
      </c>
      <c r="K100" s="6" t="s">
        <v>778</v>
      </c>
      <c r="L100" s="6" t="s">
        <v>887</v>
      </c>
      <c r="M100" s="6" t="s">
        <v>869</v>
      </c>
      <c r="N100" s="6" t="s">
        <v>870</v>
      </c>
      <c r="O100" s="6" t="s">
        <v>888</v>
      </c>
      <c r="P100" s="6" t="s">
        <v>484</v>
      </c>
      <c r="Q100" s="6" t="s">
        <v>110</v>
      </c>
      <c r="R100" s="6" t="s">
        <v>66</v>
      </c>
      <c r="S100" s="6" t="s">
        <v>803</v>
      </c>
      <c r="T100" s="6" t="s">
        <v>68</v>
      </c>
      <c r="U100" s="6" t="s">
        <v>889</v>
      </c>
      <c r="V100" s="6" t="s">
        <v>65</v>
      </c>
      <c r="W100" s="6" t="s">
        <v>70</v>
      </c>
      <c r="X100" s="7"/>
      <c r="Y100" s="6" t="s">
        <v>65</v>
      </c>
      <c r="Z100" s="6" t="s">
        <v>65</v>
      </c>
      <c r="AA100" s="6" t="s">
        <v>65</v>
      </c>
      <c r="AB100" s="8">
        <v>0</v>
      </c>
      <c r="AC100" s="7"/>
      <c r="AD100" s="7"/>
      <c r="AE100" s="7"/>
      <c r="AF100" s="7"/>
      <c r="AG100" s="6" t="s">
        <v>72</v>
      </c>
      <c r="AH100" s="6" t="s">
        <v>73</v>
      </c>
      <c r="AI100" s="6" t="s">
        <v>890</v>
      </c>
      <c r="AJ100" s="7">
        <v>46587</v>
      </c>
      <c r="AK100" s="6" t="s">
        <v>65</v>
      </c>
      <c r="AL100" s="6" t="s">
        <v>65</v>
      </c>
      <c r="AM100" s="6" t="s">
        <v>65</v>
      </c>
      <c r="AN100" s="9">
        <v>0</v>
      </c>
      <c r="AO100" s="9">
        <v>0</v>
      </c>
      <c r="AP100" s="6" t="s">
        <v>113</v>
      </c>
      <c r="AQ100" s="8">
        <v>1865000</v>
      </c>
      <c r="AR100" s="7">
        <v>46235</v>
      </c>
      <c r="AS100" s="6" t="s">
        <v>65</v>
      </c>
      <c r="AT100" s="6" t="s">
        <v>65</v>
      </c>
      <c r="AU100" s="6" t="s">
        <v>891</v>
      </c>
    </row>
    <row r="101" spans="1:47">
      <c r="A101" t="str">
        <f t="shared" si="1"/>
        <v>PUP-140</v>
      </c>
      <c r="B101" s="5" t="s">
        <v>52</v>
      </c>
      <c r="C101" s="6" t="s">
        <v>53</v>
      </c>
      <c r="D101" s="7">
        <v>46258</v>
      </c>
      <c r="E101" s="7">
        <v>2958465</v>
      </c>
      <c r="F101" s="6" t="s">
        <v>892</v>
      </c>
      <c r="G101" s="6" t="s">
        <v>93</v>
      </c>
      <c r="H101" s="6" t="s">
        <v>94</v>
      </c>
      <c r="I101" s="6" t="s">
        <v>95</v>
      </c>
      <c r="J101" s="6" t="s">
        <v>96</v>
      </c>
      <c r="K101" s="6" t="s">
        <v>778</v>
      </c>
      <c r="L101" s="6" t="s">
        <v>893</v>
      </c>
      <c r="M101" s="6" t="s">
        <v>869</v>
      </c>
      <c r="N101" s="6" t="s">
        <v>870</v>
      </c>
      <c r="O101" s="6" t="s">
        <v>894</v>
      </c>
      <c r="P101" s="6" t="s">
        <v>484</v>
      </c>
      <c r="Q101" s="6" t="s">
        <v>110</v>
      </c>
      <c r="R101" s="6" t="s">
        <v>66</v>
      </c>
      <c r="S101" s="6" t="s">
        <v>803</v>
      </c>
      <c r="T101" s="6" t="s">
        <v>68</v>
      </c>
      <c r="U101" s="6" t="s">
        <v>895</v>
      </c>
      <c r="V101" s="6" t="s">
        <v>65</v>
      </c>
      <c r="W101" s="6" t="s">
        <v>70</v>
      </c>
      <c r="X101" s="7"/>
      <c r="Y101" s="6" t="s">
        <v>65</v>
      </c>
      <c r="Z101" s="6" t="s">
        <v>65</v>
      </c>
      <c r="AA101" s="6" t="s">
        <v>65</v>
      </c>
      <c r="AB101" s="8">
        <v>0</v>
      </c>
      <c r="AC101" s="7"/>
      <c r="AD101" s="7"/>
      <c r="AE101" s="7"/>
      <c r="AF101" s="7"/>
      <c r="AG101" s="6" t="s">
        <v>72</v>
      </c>
      <c r="AH101" s="6" t="s">
        <v>73</v>
      </c>
      <c r="AI101" s="6" t="s">
        <v>896</v>
      </c>
      <c r="AJ101" s="7">
        <v>46587</v>
      </c>
      <c r="AK101" s="6" t="s">
        <v>65</v>
      </c>
      <c r="AL101" s="6" t="s">
        <v>65</v>
      </c>
      <c r="AM101" s="6" t="s">
        <v>65</v>
      </c>
      <c r="AN101" s="9">
        <v>0</v>
      </c>
      <c r="AO101" s="9">
        <v>0</v>
      </c>
      <c r="AP101" s="6" t="s">
        <v>113</v>
      </c>
      <c r="AQ101" s="8">
        <v>1865000</v>
      </c>
      <c r="AR101" s="7">
        <v>46235</v>
      </c>
      <c r="AS101" s="6" t="s">
        <v>65</v>
      </c>
      <c r="AT101" s="6" t="s">
        <v>65</v>
      </c>
      <c r="AU101" s="6" t="s">
        <v>897</v>
      </c>
    </row>
    <row r="102" spans="1:47">
      <c r="A102" t="str">
        <f t="shared" si="1"/>
        <v>KNT-014</v>
      </c>
      <c r="B102" s="5" t="s">
        <v>52</v>
      </c>
      <c r="C102" s="6" t="s">
        <v>53</v>
      </c>
      <c r="D102" s="7">
        <v>46181</v>
      </c>
      <c r="E102" s="7">
        <v>2958465</v>
      </c>
      <c r="F102" s="6" t="s">
        <v>898</v>
      </c>
      <c r="G102" s="6" t="s">
        <v>55</v>
      </c>
      <c r="H102" s="6" t="s">
        <v>56</v>
      </c>
      <c r="I102" s="6" t="s">
        <v>57</v>
      </c>
      <c r="J102" s="6" t="s">
        <v>58</v>
      </c>
      <c r="K102" s="6" t="s">
        <v>899</v>
      </c>
      <c r="L102" s="6" t="s">
        <v>900</v>
      </c>
      <c r="M102" s="6" t="s">
        <v>901</v>
      </c>
      <c r="N102" s="6" t="s">
        <v>902</v>
      </c>
      <c r="O102" s="6" t="s">
        <v>65</v>
      </c>
      <c r="P102" s="6" t="s">
        <v>903</v>
      </c>
      <c r="Q102" s="6" t="s">
        <v>152</v>
      </c>
      <c r="R102" s="6" t="s">
        <v>421</v>
      </c>
      <c r="S102" s="6" t="s">
        <v>899</v>
      </c>
      <c r="T102" s="6" t="s">
        <v>68</v>
      </c>
      <c r="U102" s="6" t="s">
        <v>70</v>
      </c>
      <c r="V102" s="6" t="s">
        <v>65</v>
      </c>
      <c r="W102" s="6" t="s">
        <v>70</v>
      </c>
      <c r="X102" s="7"/>
      <c r="Y102" s="6" t="s">
        <v>65</v>
      </c>
      <c r="Z102" s="6" t="s">
        <v>65</v>
      </c>
      <c r="AA102" s="6" t="s">
        <v>65</v>
      </c>
      <c r="AB102" s="8">
        <v>25000</v>
      </c>
      <c r="AC102" s="7"/>
      <c r="AD102" s="7"/>
      <c r="AE102" s="7"/>
      <c r="AF102" s="7"/>
      <c r="AG102" s="6" t="s">
        <v>65</v>
      </c>
      <c r="AH102" s="6" t="s">
        <v>65</v>
      </c>
      <c r="AI102" s="6" t="s">
        <v>65</v>
      </c>
      <c r="AJ102" s="7"/>
      <c r="AK102" s="6" t="s">
        <v>74</v>
      </c>
      <c r="AL102" s="6" t="s">
        <v>65</v>
      </c>
      <c r="AM102" s="6" t="s">
        <v>65</v>
      </c>
      <c r="AN102" s="9">
        <v>0</v>
      </c>
      <c r="AO102" s="9">
        <v>0</v>
      </c>
      <c r="AP102" s="6" t="s">
        <v>65</v>
      </c>
      <c r="AQ102" s="8">
        <v>225000</v>
      </c>
      <c r="AR102" s="7">
        <v>45183</v>
      </c>
      <c r="AS102" s="6" t="s">
        <v>65</v>
      </c>
      <c r="AT102" s="6" t="s">
        <v>65</v>
      </c>
      <c r="AU102" s="6" t="s">
        <v>65</v>
      </c>
    </row>
    <row r="103" spans="1:47">
      <c r="A103" t="str">
        <f t="shared" si="1"/>
        <v>GKM-003</v>
      </c>
      <c r="B103" s="5" t="s">
        <v>52</v>
      </c>
      <c r="C103" s="6" t="s">
        <v>53</v>
      </c>
      <c r="D103" s="7">
        <v>46196</v>
      </c>
      <c r="E103" s="7">
        <v>2958465</v>
      </c>
      <c r="F103" s="6" t="s">
        <v>904</v>
      </c>
      <c r="G103" s="6" t="s">
        <v>55</v>
      </c>
      <c r="H103" s="6" t="s">
        <v>56</v>
      </c>
      <c r="I103" s="6" t="s">
        <v>57</v>
      </c>
      <c r="J103" s="6" t="s">
        <v>58</v>
      </c>
      <c r="K103" s="6" t="s">
        <v>905</v>
      </c>
      <c r="L103" s="6" t="s">
        <v>906</v>
      </c>
      <c r="M103" s="6" t="s">
        <v>907</v>
      </c>
      <c r="N103" s="6" t="s">
        <v>908</v>
      </c>
      <c r="O103" s="6" t="s">
        <v>65</v>
      </c>
      <c r="P103" s="6" t="s">
        <v>909</v>
      </c>
      <c r="Q103" s="6" t="s">
        <v>214</v>
      </c>
      <c r="R103" s="6" t="s">
        <v>421</v>
      </c>
      <c r="S103" s="6" t="s">
        <v>910</v>
      </c>
      <c r="T103" s="6" t="s">
        <v>68</v>
      </c>
      <c r="U103" s="6" t="s">
        <v>70</v>
      </c>
      <c r="V103" s="6" t="s">
        <v>65</v>
      </c>
      <c r="W103" s="6" t="s">
        <v>70</v>
      </c>
      <c r="X103" s="7"/>
      <c r="Y103" s="6" t="s">
        <v>65</v>
      </c>
      <c r="Z103" s="6" t="s">
        <v>65</v>
      </c>
      <c r="AA103" s="6" t="s">
        <v>65</v>
      </c>
      <c r="AB103" s="8">
        <v>0</v>
      </c>
      <c r="AC103" s="7"/>
      <c r="AD103" s="7"/>
      <c r="AE103" s="7"/>
      <c r="AF103" s="7"/>
      <c r="AG103" s="6" t="s">
        <v>65</v>
      </c>
      <c r="AH103" s="6" t="s">
        <v>65</v>
      </c>
      <c r="AI103" s="6" t="s">
        <v>65</v>
      </c>
      <c r="AJ103" s="7"/>
      <c r="AK103" s="6" t="s">
        <v>65</v>
      </c>
      <c r="AL103" s="6" t="s">
        <v>65</v>
      </c>
      <c r="AM103" s="6" t="s">
        <v>65</v>
      </c>
      <c r="AN103" s="9">
        <v>0</v>
      </c>
      <c r="AO103" s="9">
        <v>0</v>
      </c>
      <c r="AP103" s="6" t="s">
        <v>65</v>
      </c>
      <c r="AQ103" s="8">
        <v>0</v>
      </c>
      <c r="AR103" s="7"/>
      <c r="AS103" s="6" t="s">
        <v>65</v>
      </c>
      <c r="AT103" s="6" t="s">
        <v>65</v>
      </c>
      <c r="AU103" s="6" t="s">
        <v>65</v>
      </c>
    </row>
    <row r="104" spans="1:47">
      <c r="A104" t="str">
        <f t="shared" si="1"/>
        <v>MNB-029</v>
      </c>
      <c r="B104" s="5" t="s">
        <v>52</v>
      </c>
      <c r="C104" s="6" t="s">
        <v>53</v>
      </c>
      <c r="D104" s="7">
        <v>46259</v>
      </c>
      <c r="E104" s="7">
        <v>2958465</v>
      </c>
      <c r="F104" s="6" t="s">
        <v>911</v>
      </c>
      <c r="G104" s="6" t="s">
        <v>93</v>
      </c>
      <c r="H104" s="6" t="s">
        <v>94</v>
      </c>
      <c r="I104" s="6" t="s">
        <v>95</v>
      </c>
      <c r="J104" s="6" t="s">
        <v>96</v>
      </c>
      <c r="K104" s="6" t="s">
        <v>912</v>
      </c>
      <c r="L104" s="6" t="s">
        <v>913</v>
      </c>
      <c r="M104" s="6" t="s">
        <v>914</v>
      </c>
      <c r="N104" s="6" t="s">
        <v>915</v>
      </c>
      <c r="O104" s="6" t="s">
        <v>916</v>
      </c>
      <c r="P104" s="6" t="s">
        <v>484</v>
      </c>
      <c r="Q104" s="6" t="s">
        <v>110</v>
      </c>
      <c r="R104" s="6" t="s">
        <v>66</v>
      </c>
      <c r="S104" s="6" t="s">
        <v>917</v>
      </c>
      <c r="T104" s="6" t="s">
        <v>68</v>
      </c>
      <c r="U104" s="6" t="s">
        <v>918</v>
      </c>
      <c r="V104" s="6" t="s">
        <v>65</v>
      </c>
      <c r="W104" s="6" t="s">
        <v>70</v>
      </c>
      <c r="X104" s="7"/>
      <c r="Y104" s="6" t="s">
        <v>65</v>
      </c>
      <c r="Z104" s="6" t="s">
        <v>65</v>
      </c>
      <c r="AA104" s="6" t="s">
        <v>65</v>
      </c>
      <c r="AB104" s="8">
        <v>0</v>
      </c>
      <c r="AC104" s="7"/>
      <c r="AD104" s="7"/>
      <c r="AE104" s="7"/>
      <c r="AF104" s="7"/>
      <c r="AG104" s="6" t="s">
        <v>72</v>
      </c>
      <c r="AH104" s="6" t="s">
        <v>73</v>
      </c>
      <c r="AI104" s="6" t="s">
        <v>919</v>
      </c>
      <c r="AJ104" s="7">
        <v>46545</v>
      </c>
      <c r="AK104" s="6" t="s">
        <v>65</v>
      </c>
      <c r="AL104" s="6" t="s">
        <v>65</v>
      </c>
      <c r="AM104" s="6" t="s">
        <v>65</v>
      </c>
      <c r="AN104" s="9">
        <v>0</v>
      </c>
      <c r="AO104" s="9">
        <v>0</v>
      </c>
      <c r="AP104" s="6" t="s">
        <v>113</v>
      </c>
      <c r="AQ104" s="8">
        <v>2549000</v>
      </c>
      <c r="AR104" s="7">
        <v>46235</v>
      </c>
      <c r="AS104" s="6" t="s">
        <v>65</v>
      </c>
      <c r="AT104" s="6" t="s">
        <v>65</v>
      </c>
      <c r="AU104" s="6" t="s">
        <v>920</v>
      </c>
    </row>
    <row r="105" spans="1:47">
      <c r="A105" t="str">
        <f t="shared" si="1"/>
        <v>MNB-034</v>
      </c>
      <c r="B105" s="5" t="s">
        <v>52</v>
      </c>
      <c r="C105" s="6" t="s">
        <v>53</v>
      </c>
      <c r="D105" s="7">
        <v>46255</v>
      </c>
      <c r="E105" s="7">
        <v>2958465</v>
      </c>
      <c r="F105" s="6" t="s">
        <v>921</v>
      </c>
      <c r="G105" s="6" t="s">
        <v>93</v>
      </c>
      <c r="H105" s="6" t="s">
        <v>94</v>
      </c>
      <c r="I105" s="6" t="s">
        <v>95</v>
      </c>
      <c r="J105" s="6" t="s">
        <v>96</v>
      </c>
      <c r="K105" s="6" t="s">
        <v>912</v>
      </c>
      <c r="L105" s="6" t="s">
        <v>922</v>
      </c>
      <c r="M105" s="6" t="s">
        <v>914</v>
      </c>
      <c r="N105" s="6" t="s">
        <v>915</v>
      </c>
      <c r="O105" s="6" t="s">
        <v>923</v>
      </c>
      <c r="P105" s="6" t="s">
        <v>484</v>
      </c>
      <c r="Q105" s="6" t="s">
        <v>110</v>
      </c>
      <c r="R105" s="6" t="s">
        <v>66</v>
      </c>
      <c r="S105" s="6" t="s">
        <v>917</v>
      </c>
      <c r="T105" s="6" t="s">
        <v>68</v>
      </c>
      <c r="U105" s="6" t="s">
        <v>924</v>
      </c>
      <c r="V105" s="6" t="s">
        <v>65</v>
      </c>
      <c r="W105" s="6" t="s">
        <v>70</v>
      </c>
      <c r="X105" s="7"/>
      <c r="Y105" s="6" t="s">
        <v>65</v>
      </c>
      <c r="Z105" s="6" t="s">
        <v>65</v>
      </c>
      <c r="AA105" s="6" t="s">
        <v>65</v>
      </c>
      <c r="AB105" s="8">
        <v>0</v>
      </c>
      <c r="AC105" s="7"/>
      <c r="AD105" s="7"/>
      <c r="AE105" s="7"/>
      <c r="AF105" s="7"/>
      <c r="AG105" s="6" t="s">
        <v>72</v>
      </c>
      <c r="AH105" s="6" t="s">
        <v>73</v>
      </c>
      <c r="AI105" s="6" t="s">
        <v>925</v>
      </c>
      <c r="AJ105" s="7">
        <v>46561</v>
      </c>
      <c r="AK105" s="6" t="s">
        <v>65</v>
      </c>
      <c r="AL105" s="6" t="s">
        <v>65</v>
      </c>
      <c r="AM105" s="6" t="s">
        <v>65</v>
      </c>
      <c r="AN105" s="9">
        <v>0</v>
      </c>
      <c r="AO105" s="9">
        <v>0</v>
      </c>
      <c r="AP105" s="6" t="s">
        <v>113</v>
      </c>
      <c r="AQ105" s="8">
        <v>2549000</v>
      </c>
      <c r="AR105" s="7">
        <v>46235</v>
      </c>
      <c r="AS105" s="6" t="s">
        <v>65</v>
      </c>
      <c r="AT105" s="6" t="s">
        <v>65</v>
      </c>
      <c r="AU105" s="6" t="s">
        <v>926</v>
      </c>
    </row>
    <row r="106" spans="1:47">
      <c r="A106" t="str">
        <f t="shared" si="1"/>
        <v>MNB-035</v>
      </c>
      <c r="B106" s="5" t="s">
        <v>52</v>
      </c>
      <c r="C106" s="6" t="s">
        <v>53</v>
      </c>
      <c r="D106" s="7">
        <v>46253</v>
      </c>
      <c r="E106" s="7">
        <v>2958465</v>
      </c>
      <c r="F106" s="6" t="s">
        <v>927</v>
      </c>
      <c r="G106" s="6" t="s">
        <v>93</v>
      </c>
      <c r="H106" s="6" t="s">
        <v>94</v>
      </c>
      <c r="I106" s="6" t="s">
        <v>95</v>
      </c>
      <c r="J106" s="6" t="s">
        <v>96</v>
      </c>
      <c r="K106" s="6" t="s">
        <v>912</v>
      </c>
      <c r="L106" s="6" t="s">
        <v>928</v>
      </c>
      <c r="M106" s="6" t="s">
        <v>914</v>
      </c>
      <c r="N106" s="6" t="s">
        <v>915</v>
      </c>
      <c r="O106" s="6" t="s">
        <v>929</v>
      </c>
      <c r="P106" s="6" t="s">
        <v>484</v>
      </c>
      <c r="Q106" s="6" t="s">
        <v>110</v>
      </c>
      <c r="R106" s="6" t="s">
        <v>66</v>
      </c>
      <c r="S106" s="6" t="s">
        <v>917</v>
      </c>
      <c r="T106" s="6" t="s">
        <v>68</v>
      </c>
      <c r="U106" s="6" t="s">
        <v>930</v>
      </c>
      <c r="V106" s="6" t="s">
        <v>65</v>
      </c>
      <c r="W106" s="6" t="s">
        <v>70</v>
      </c>
      <c r="X106" s="7"/>
      <c r="Y106" s="6" t="s">
        <v>65</v>
      </c>
      <c r="Z106" s="6" t="s">
        <v>65</v>
      </c>
      <c r="AA106" s="6" t="s">
        <v>65</v>
      </c>
      <c r="AB106" s="8">
        <v>0</v>
      </c>
      <c r="AC106" s="7"/>
      <c r="AD106" s="7"/>
      <c r="AE106" s="7"/>
      <c r="AF106" s="7"/>
      <c r="AG106" s="6" t="s">
        <v>72</v>
      </c>
      <c r="AH106" s="6" t="s">
        <v>73</v>
      </c>
      <c r="AI106" s="6" t="s">
        <v>931</v>
      </c>
      <c r="AJ106" s="7">
        <v>46562</v>
      </c>
      <c r="AK106" s="6" t="s">
        <v>65</v>
      </c>
      <c r="AL106" s="6" t="s">
        <v>65</v>
      </c>
      <c r="AM106" s="6" t="s">
        <v>65</v>
      </c>
      <c r="AN106" s="9">
        <v>0</v>
      </c>
      <c r="AO106" s="9">
        <v>0</v>
      </c>
      <c r="AP106" s="6" t="s">
        <v>113</v>
      </c>
      <c r="AQ106" s="8">
        <v>2549000</v>
      </c>
      <c r="AR106" s="7">
        <v>46235</v>
      </c>
      <c r="AS106" s="6" t="s">
        <v>65</v>
      </c>
      <c r="AT106" s="6" t="s">
        <v>65</v>
      </c>
      <c r="AU106" s="6" t="s">
        <v>932</v>
      </c>
    </row>
    <row r="107" spans="1:47">
      <c r="A107" t="str">
        <f t="shared" si="1"/>
        <v>MNB-037</v>
      </c>
      <c r="B107" s="5" t="s">
        <v>52</v>
      </c>
      <c r="C107" s="6" t="s">
        <v>53</v>
      </c>
      <c r="D107" s="7">
        <v>46246</v>
      </c>
      <c r="E107" s="7">
        <v>2958465</v>
      </c>
      <c r="F107" s="6" t="s">
        <v>933</v>
      </c>
      <c r="G107" s="6" t="s">
        <v>55</v>
      </c>
      <c r="H107" s="6" t="s">
        <v>56</v>
      </c>
      <c r="I107" s="6" t="s">
        <v>57</v>
      </c>
      <c r="J107" s="6" t="s">
        <v>58</v>
      </c>
      <c r="K107" s="6" t="s">
        <v>912</v>
      </c>
      <c r="L107" s="6" t="s">
        <v>934</v>
      </c>
      <c r="M107" s="6" t="s">
        <v>914</v>
      </c>
      <c r="N107" s="6" t="s">
        <v>915</v>
      </c>
      <c r="O107" s="6" t="s">
        <v>935</v>
      </c>
      <c r="P107" s="6" t="s">
        <v>484</v>
      </c>
      <c r="Q107" s="6" t="s">
        <v>110</v>
      </c>
      <c r="R107" s="6" t="s">
        <v>66</v>
      </c>
      <c r="S107" s="6" t="s">
        <v>917</v>
      </c>
      <c r="T107" s="6" t="s">
        <v>68</v>
      </c>
      <c r="U107" s="6" t="s">
        <v>936</v>
      </c>
      <c r="V107" s="6" t="s">
        <v>65</v>
      </c>
      <c r="W107" s="6" t="s">
        <v>70</v>
      </c>
      <c r="X107" s="7"/>
      <c r="Y107" s="6" t="s">
        <v>65</v>
      </c>
      <c r="Z107" s="6" t="s">
        <v>65</v>
      </c>
      <c r="AA107" s="6" t="s">
        <v>65</v>
      </c>
      <c r="AB107" s="8">
        <v>0</v>
      </c>
      <c r="AC107" s="7"/>
      <c r="AD107" s="7"/>
      <c r="AE107" s="7"/>
      <c r="AF107" s="7"/>
      <c r="AG107" s="6" t="s">
        <v>72</v>
      </c>
      <c r="AH107" s="6" t="s">
        <v>73</v>
      </c>
      <c r="AI107" s="6" t="s">
        <v>937</v>
      </c>
      <c r="AJ107" s="7">
        <v>46576</v>
      </c>
      <c r="AK107" s="6" t="s">
        <v>65</v>
      </c>
      <c r="AL107" s="6" t="s">
        <v>65</v>
      </c>
      <c r="AM107" s="6" t="s">
        <v>65</v>
      </c>
      <c r="AN107" s="9">
        <v>0</v>
      </c>
      <c r="AO107" s="9">
        <v>0</v>
      </c>
      <c r="AP107" s="6" t="s">
        <v>113</v>
      </c>
      <c r="AQ107" s="8">
        <v>2549000</v>
      </c>
      <c r="AR107" s="7">
        <v>46235</v>
      </c>
      <c r="AS107" s="6" t="s">
        <v>65</v>
      </c>
      <c r="AT107" s="6" t="s">
        <v>65</v>
      </c>
      <c r="AU107" s="6" t="s">
        <v>938</v>
      </c>
    </row>
    <row r="108" spans="1:47">
      <c r="A108" t="str">
        <f t="shared" si="1"/>
        <v>MNB-039</v>
      </c>
      <c r="B108" s="5" t="s">
        <v>52</v>
      </c>
      <c r="C108" s="6" t="s">
        <v>53</v>
      </c>
      <c r="D108" s="7">
        <v>46255</v>
      </c>
      <c r="E108" s="7">
        <v>2958465</v>
      </c>
      <c r="F108" s="6" t="s">
        <v>939</v>
      </c>
      <c r="G108" s="6" t="s">
        <v>93</v>
      </c>
      <c r="H108" s="6" t="s">
        <v>94</v>
      </c>
      <c r="I108" s="6" t="s">
        <v>95</v>
      </c>
      <c r="J108" s="6" t="s">
        <v>96</v>
      </c>
      <c r="K108" s="6" t="s">
        <v>912</v>
      </c>
      <c r="L108" s="6" t="s">
        <v>940</v>
      </c>
      <c r="M108" s="6" t="s">
        <v>914</v>
      </c>
      <c r="N108" s="6" t="s">
        <v>915</v>
      </c>
      <c r="O108" s="6" t="s">
        <v>941</v>
      </c>
      <c r="P108" s="6" t="s">
        <v>484</v>
      </c>
      <c r="Q108" s="6" t="s">
        <v>110</v>
      </c>
      <c r="R108" s="6" t="s">
        <v>66</v>
      </c>
      <c r="S108" s="6" t="s">
        <v>917</v>
      </c>
      <c r="T108" s="6" t="s">
        <v>68</v>
      </c>
      <c r="U108" s="6" t="s">
        <v>942</v>
      </c>
      <c r="V108" s="6" t="s">
        <v>65</v>
      </c>
      <c r="W108" s="6" t="s">
        <v>70</v>
      </c>
      <c r="X108" s="7"/>
      <c r="Y108" s="6" t="s">
        <v>65</v>
      </c>
      <c r="Z108" s="6" t="s">
        <v>65</v>
      </c>
      <c r="AA108" s="6" t="s">
        <v>65</v>
      </c>
      <c r="AB108" s="8">
        <v>0</v>
      </c>
      <c r="AC108" s="7"/>
      <c r="AD108" s="7"/>
      <c r="AE108" s="7"/>
      <c r="AF108" s="7"/>
      <c r="AG108" s="6" t="s">
        <v>72</v>
      </c>
      <c r="AH108" s="6" t="s">
        <v>73</v>
      </c>
      <c r="AI108" s="6" t="s">
        <v>943</v>
      </c>
      <c r="AJ108" s="7">
        <v>46576</v>
      </c>
      <c r="AK108" s="6" t="s">
        <v>65</v>
      </c>
      <c r="AL108" s="6" t="s">
        <v>65</v>
      </c>
      <c r="AM108" s="6" t="s">
        <v>65</v>
      </c>
      <c r="AN108" s="9">
        <v>0</v>
      </c>
      <c r="AO108" s="9">
        <v>0</v>
      </c>
      <c r="AP108" s="6" t="s">
        <v>113</v>
      </c>
      <c r="AQ108" s="8">
        <v>2549000</v>
      </c>
      <c r="AR108" s="7">
        <v>46235</v>
      </c>
      <c r="AS108" s="6" t="s">
        <v>65</v>
      </c>
      <c r="AT108" s="6" t="s">
        <v>65</v>
      </c>
      <c r="AU108" s="6" t="s">
        <v>944</v>
      </c>
    </row>
    <row r="109" spans="1:47">
      <c r="A109" t="str">
        <f t="shared" si="1"/>
        <v>MNB-040</v>
      </c>
      <c r="B109" s="5" t="s">
        <v>52</v>
      </c>
      <c r="C109" s="6" t="s">
        <v>53</v>
      </c>
      <c r="D109" s="7">
        <v>46249</v>
      </c>
      <c r="E109" s="7">
        <v>2958465</v>
      </c>
      <c r="F109" s="6" t="s">
        <v>945</v>
      </c>
      <c r="G109" s="6" t="s">
        <v>93</v>
      </c>
      <c r="H109" s="6" t="s">
        <v>94</v>
      </c>
      <c r="I109" s="6" t="s">
        <v>95</v>
      </c>
      <c r="J109" s="6" t="s">
        <v>96</v>
      </c>
      <c r="K109" s="6" t="s">
        <v>912</v>
      </c>
      <c r="L109" s="6" t="s">
        <v>946</v>
      </c>
      <c r="M109" s="6" t="s">
        <v>914</v>
      </c>
      <c r="N109" s="6" t="s">
        <v>915</v>
      </c>
      <c r="O109" s="6" t="s">
        <v>947</v>
      </c>
      <c r="P109" s="6" t="s">
        <v>484</v>
      </c>
      <c r="Q109" s="6" t="s">
        <v>110</v>
      </c>
      <c r="R109" s="6" t="s">
        <v>66</v>
      </c>
      <c r="S109" s="6" t="s">
        <v>917</v>
      </c>
      <c r="T109" s="6" t="s">
        <v>68</v>
      </c>
      <c r="U109" s="6" t="s">
        <v>948</v>
      </c>
      <c r="V109" s="6" t="s">
        <v>65</v>
      </c>
      <c r="W109" s="6" t="s">
        <v>70</v>
      </c>
      <c r="X109" s="7"/>
      <c r="Y109" s="6" t="s">
        <v>65</v>
      </c>
      <c r="Z109" s="6" t="s">
        <v>65</v>
      </c>
      <c r="AA109" s="6" t="s">
        <v>65</v>
      </c>
      <c r="AB109" s="8">
        <v>0</v>
      </c>
      <c r="AC109" s="7"/>
      <c r="AD109" s="7"/>
      <c r="AE109" s="7"/>
      <c r="AF109" s="7"/>
      <c r="AG109" s="6" t="s">
        <v>72</v>
      </c>
      <c r="AH109" s="6" t="s">
        <v>73</v>
      </c>
      <c r="AI109" s="6" t="s">
        <v>949</v>
      </c>
      <c r="AJ109" s="7">
        <v>46577</v>
      </c>
      <c r="AK109" s="6" t="s">
        <v>65</v>
      </c>
      <c r="AL109" s="6" t="s">
        <v>65</v>
      </c>
      <c r="AM109" s="6" t="s">
        <v>65</v>
      </c>
      <c r="AN109" s="9">
        <v>0</v>
      </c>
      <c r="AO109" s="9">
        <v>0</v>
      </c>
      <c r="AP109" s="6" t="s">
        <v>113</v>
      </c>
      <c r="AQ109" s="8">
        <v>2549000</v>
      </c>
      <c r="AR109" s="7">
        <v>46235</v>
      </c>
      <c r="AS109" s="6" t="s">
        <v>65</v>
      </c>
      <c r="AT109" s="6" t="s">
        <v>65</v>
      </c>
      <c r="AU109" s="6" t="s">
        <v>950</v>
      </c>
    </row>
    <row r="110" spans="1:47">
      <c r="A110" t="str">
        <f t="shared" si="1"/>
        <v>SAT-017</v>
      </c>
      <c r="B110" s="5" t="s">
        <v>52</v>
      </c>
      <c r="C110" s="6" t="s">
        <v>53</v>
      </c>
      <c r="D110" s="7">
        <v>46149</v>
      </c>
      <c r="E110" s="7">
        <v>2958465</v>
      </c>
      <c r="F110" s="6" t="s">
        <v>951</v>
      </c>
      <c r="G110" s="6" t="s">
        <v>55</v>
      </c>
      <c r="H110" s="6" t="s">
        <v>56</v>
      </c>
      <c r="I110" s="6" t="s">
        <v>57</v>
      </c>
      <c r="J110" s="6" t="s">
        <v>58</v>
      </c>
      <c r="K110" s="6" t="s">
        <v>952</v>
      </c>
      <c r="L110" s="6" t="s">
        <v>953</v>
      </c>
      <c r="M110" s="6" t="s">
        <v>954</v>
      </c>
      <c r="N110" s="6" t="s">
        <v>65</v>
      </c>
      <c r="O110" s="6" t="s">
        <v>65</v>
      </c>
      <c r="P110" s="6" t="s">
        <v>65</v>
      </c>
      <c r="Q110" s="6" t="s">
        <v>65</v>
      </c>
      <c r="R110" s="6" t="s">
        <v>421</v>
      </c>
      <c r="S110" s="6" t="s">
        <v>955</v>
      </c>
      <c r="T110" s="6" t="s">
        <v>68</v>
      </c>
      <c r="U110" s="6" t="s">
        <v>65</v>
      </c>
      <c r="V110" s="6" t="s">
        <v>65</v>
      </c>
      <c r="W110" s="6" t="s">
        <v>70</v>
      </c>
      <c r="X110" s="7"/>
      <c r="Y110" s="6" t="s">
        <v>65</v>
      </c>
      <c r="Z110" s="6" t="s">
        <v>65</v>
      </c>
      <c r="AA110" s="6" t="s">
        <v>65</v>
      </c>
      <c r="AB110" s="8">
        <v>0</v>
      </c>
      <c r="AC110" s="7"/>
      <c r="AD110" s="7"/>
      <c r="AE110" s="7"/>
      <c r="AF110" s="7"/>
      <c r="AG110" s="6" t="s">
        <v>72</v>
      </c>
      <c r="AH110" s="6" t="s">
        <v>73</v>
      </c>
      <c r="AI110" s="6" t="s">
        <v>65</v>
      </c>
      <c r="AJ110" s="7"/>
      <c r="AK110" s="6" t="s">
        <v>65</v>
      </c>
      <c r="AL110" s="6" t="s">
        <v>65</v>
      </c>
      <c r="AM110" s="6" t="s">
        <v>65</v>
      </c>
      <c r="AN110" s="9">
        <v>0</v>
      </c>
      <c r="AO110" s="9">
        <v>0</v>
      </c>
      <c r="AP110" s="6" t="s">
        <v>73</v>
      </c>
      <c r="AQ110" s="8">
        <v>0</v>
      </c>
      <c r="AR110" s="7"/>
      <c r="AS110" s="6" t="s">
        <v>65</v>
      </c>
      <c r="AT110" s="6" t="s">
        <v>65</v>
      </c>
      <c r="AU110" s="6" t="s">
        <v>65</v>
      </c>
    </row>
    <row r="111" spans="1:47">
      <c r="A111" t="str">
        <f t="shared" si="1"/>
        <v>KLV-003</v>
      </c>
      <c r="B111" s="5" t="s">
        <v>52</v>
      </c>
      <c r="C111" s="6" t="s">
        <v>53</v>
      </c>
      <c r="D111" s="7">
        <v>46186</v>
      </c>
      <c r="E111" s="7">
        <v>2958465</v>
      </c>
      <c r="F111" s="6" t="s">
        <v>956</v>
      </c>
      <c r="G111" s="6" t="s">
        <v>55</v>
      </c>
      <c r="H111" s="6" t="s">
        <v>56</v>
      </c>
      <c r="I111" s="6" t="s">
        <v>57</v>
      </c>
      <c r="J111" s="6" t="s">
        <v>58</v>
      </c>
      <c r="K111" s="6" t="s">
        <v>957</v>
      </c>
      <c r="L111" s="6" t="s">
        <v>958</v>
      </c>
      <c r="M111" s="6" t="s">
        <v>959</v>
      </c>
      <c r="N111" s="6" t="s">
        <v>65</v>
      </c>
      <c r="O111" s="6" t="s">
        <v>65</v>
      </c>
      <c r="P111" s="6" t="s">
        <v>65</v>
      </c>
      <c r="Q111" s="6" t="s">
        <v>243</v>
      </c>
      <c r="R111" s="6" t="s">
        <v>421</v>
      </c>
      <c r="S111" s="6" t="s">
        <v>960</v>
      </c>
      <c r="T111" s="6" t="s">
        <v>68</v>
      </c>
      <c r="U111" s="6" t="s">
        <v>961</v>
      </c>
      <c r="V111" s="6" t="s">
        <v>65</v>
      </c>
      <c r="W111" s="6" t="s">
        <v>70</v>
      </c>
      <c r="X111" s="7"/>
      <c r="Y111" s="6" t="s">
        <v>65</v>
      </c>
      <c r="Z111" s="6" t="s">
        <v>65</v>
      </c>
      <c r="AA111" s="6" t="s">
        <v>65</v>
      </c>
      <c r="AB111" s="8">
        <v>250000</v>
      </c>
      <c r="AC111" s="7"/>
      <c r="AD111" s="7"/>
      <c r="AE111" s="7"/>
      <c r="AF111" s="7"/>
      <c r="AG111" s="6" t="s">
        <v>72</v>
      </c>
      <c r="AH111" s="6" t="s">
        <v>73</v>
      </c>
      <c r="AI111" s="6" t="s">
        <v>65</v>
      </c>
      <c r="AJ111" s="7"/>
      <c r="AK111" s="6" t="s">
        <v>74</v>
      </c>
      <c r="AL111" s="6" t="s">
        <v>65</v>
      </c>
      <c r="AM111" s="6" t="s">
        <v>65</v>
      </c>
      <c r="AN111" s="9">
        <v>0</v>
      </c>
      <c r="AO111" s="9">
        <v>0</v>
      </c>
      <c r="AP111" s="6" t="s">
        <v>962</v>
      </c>
      <c r="AQ111" s="8">
        <v>400000</v>
      </c>
      <c r="AR111" s="7">
        <v>45188</v>
      </c>
      <c r="AS111" s="6" t="s">
        <v>65</v>
      </c>
      <c r="AT111" s="6" t="s">
        <v>65</v>
      </c>
      <c r="AU111" s="6" t="s">
        <v>961</v>
      </c>
    </row>
    <row r="112" spans="1:47">
      <c r="A112" t="str">
        <f t="shared" si="1"/>
        <v>KLV-004</v>
      </c>
      <c r="B112" s="5" t="s">
        <v>52</v>
      </c>
      <c r="C112" s="6" t="s">
        <v>53</v>
      </c>
      <c r="D112" s="7">
        <v>46202</v>
      </c>
      <c r="E112" s="7">
        <v>2958465</v>
      </c>
      <c r="F112" s="6" t="s">
        <v>963</v>
      </c>
      <c r="G112" s="6" t="s">
        <v>55</v>
      </c>
      <c r="H112" s="6" t="s">
        <v>56</v>
      </c>
      <c r="I112" s="6" t="s">
        <v>57</v>
      </c>
      <c r="J112" s="6" t="s">
        <v>58</v>
      </c>
      <c r="K112" s="6" t="s">
        <v>957</v>
      </c>
      <c r="L112" s="6" t="s">
        <v>964</v>
      </c>
      <c r="M112" s="6" t="s">
        <v>959</v>
      </c>
      <c r="N112" s="6" t="s">
        <v>65</v>
      </c>
      <c r="O112" s="6" t="s">
        <v>65</v>
      </c>
      <c r="P112" s="6" t="s">
        <v>965</v>
      </c>
      <c r="Q112" s="6" t="s">
        <v>243</v>
      </c>
      <c r="R112" s="6" t="s">
        <v>421</v>
      </c>
      <c r="S112" s="6" t="s">
        <v>960</v>
      </c>
      <c r="T112" s="6" t="s">
        <v>68</v>
      </c>
      <c r="U112" s="6" t="s">
        <v>966</v>
      </c>
      <c r="V112" s="6" t="s">
        <v>65</v>
      </c>
      <c r="W112" s="6" t="s">
        <v>70</v>
      </c>
      <c r="X112" s="7"/>
      <c r="Y112" s="6" t="s">
        <v>65</v>
      </c>
      <c r="Z112" s="6" t="s">
        <v>65</v>
      </c>
      <c r="AA112" s="6" t="s">
        <v>65</v>
      </c>
      <c r="AB112" s="8">
        <v>250000</v>
      </c>
      <c r="AC112" s="7"/>
      <c r="AD112" s="7"/>
      <c r="AE112" s="7"/>
      <c r="AF112" s="7"/>
      <c r="AG112" s="6" t="s">
        <v>72</v>
      </c>
      <c r="AH112" s="6" t="s">
        <v>73</v>
      </c>
      <c r="AI112" s="6" t="s">
        <v>65</v>
      </c>
      <c r="AJ112" s="7"/>
      <c r="AK112" s="6" t="s">
        <v>74</v>
      </c>
      <c r="AL112" s="6" t="s">
        <v>65</v>
      </c>
      <c r="AM112" s="6" t="s">
        <v>65</v>
      </c>
      <c r="AN112" s="9">
        <v>0</v>
      </c>
      <c r="AO112" s="9">
        <v>0</v>
      </c>
      <c r="AP112" s="6" t="s">
        <v>962</v>
      </c>
      <c r="AQ112" s="8">
        <v>400000</v>
      </c>
      <c r="AR112" s="7">
        <v>45188</v>
      </c>
      <c r="AS112" s="6" t="s">
        <v>65</v>
      </c>
      <c r="AT112" s="6" t="s">
        <v>65</v>
      </c>
      <c r="AU112" s="6" t="s">
        <v>65</v>
      </c>
    </row>
    <row r="113" spans="1:47">
      <c r="A113" t="str">
        <f t="shared" si="1"/>
        <v>KLV-005</v>
      </c>
      <c r="B113" s="5" t="s">
        <v>52</v>
      </c>
      <c r="C113" s="6" t="s">
        <v>53</v>
      </c>
      <c r="D113" s="7">
        <v>46188</v>
      </c>
      <c r="E113" s="7">
        <v>2958465</v>
      </c>
      <c r="F113" s="6" t="s">
        <v>967</v>
      </c>
      <c r="G113" s="6" t="s">
        <v>55</v>
      </c>
      <c r="H113" s="6" t="s">
        <v>56</v>
      </c>
      <c r="I113" s="6" t="s">
        <v>57</v>
      </c>
      <c r="J113" s="6" t="s">
        <v>58</v>
      </c>
      <c r="K113" s="6" t="s">
        <v>957</v>
      </c>
      <c r="L113" s="6" t="s">
        <v>968</v>
      </c>
      <c r="M113" s="6" t="s">
        <v>959</v>
      </c>
      <c r="N113" s="6" t="s">
        <v>969</v>
      </c>
      <c r="O113" s="6" t="s">
        <v>65</v>
      </c>
      <c r="P113" s="6" t="s">
        <v>965</v>
      </c>
      <c r="Q113" s="6" t="s">
        <v>970</v>
      </c>
      <c r="R113" s="6" t="s">
        <v>66</v>
      </c>
      <c r="S113" s="6" t="s">
        <v>960</v>
      </c>
      <c r="T113" s="6" t="s">
        <v>68</v>
      </c>
      <c r="U113" s="6" t="s">
        <v>65</v>
      </c>
      <c r="V113" s="6" t="s">
        <v>65</v>
      </c>
      <c r="W113" s="6" t="s">
        <v>70</v>
      </c>
      <c r="X113" s="7"/>
      <c r="Y113" s="6" t="s">
        <v>65</v>
      </c>
      <c r="Z113" s="6" t="s">
        <v>65</v>
      </c>
      <c r="AA113" s="6" t="s">
        <v>65</v>
      </c>
      <c r="AB113" s="8">
        <v>0</v>
      </c>
      <c r="AC113" s="7"/>
      <c r="AD113" s="7"/>
      <c r="AE113" s="7"/>
      <c r="AF113" s="7"/>
      <c r="AG113" s="6" t="s">
        <v>72</v>
      </c>
      <c r="AH113" s="6" t="s">
        <v>73</v>
      </c>
      <c r="AI113" s="6" t="s">
        <v>65</v>
      </c>
      <c r="AJ113" s="7"/>
      <c r="AK113" s="6" t="s">
        <v>65</v>
      </c>
      <c r="AL113" s="6" t="s">
        <v>65</v>
      </c>
      <c r="AM113" s="6" t="s">
        <v>65</v>
      </c>
      <c r="AN113" s="9">
        <v>0</v>
      </c>
      <c r="AO113" s="9">
        <v>0</v>
      </c>
      <c r="AP113" s="6" t="s">
        <v>971</v>
      </c>
      <c r="AQ113" s="8">
        <v>232300</v>
      </c>
      <c r="AR113" s="7">
        <v>45689</v>
      </c>
      <c r="AS113" s="6" t="s">
        <v>65</v>
      </c>
      <c r="AT113" s="6" t="s">
        <v>65</v>
      </c>
      <c r="AU113" s="6" t="s">
        <v>972</v>
      </c>
    </row>
    <row r="114" spans="1:47">
      <c r="A114" t="str">
        <f t="shared" si="1"/>
        <v>KLV-006</v>
      </c>
      <c r="B114" s="5" t="s">
        <v>52</v>
      </c>
      <c r="C114" s="6" t="s">
        <v>53</v>
      </c>
      <c r="D114" s="7">
        <v>46219</v>
      </c>
      <c r="E114" s="7">
        <v>2958465</v>
      </c>
      <c r="F114" s="6" t="s">
        <v>973</v>
      </c>
      <c r="G114" s="6" t="s">
        <v>55</v>
      </c>
      <c r="H114" s="6" t="s">
        <v>56</v>
      </c>
      <c r="I114" s="6" t="s">
        <v>57</v>
      </c>
      <c r="J114" s="6" t="s">
        <v>58</v>
      </c>
      <c r="K114" s="6" t="s">
        <v>957</v>
      </c>
      <c r="L114" s="6" t="s">
        <v>974</v>
      </c>
      <c r="M114" s="6" t="s">
        <v>975</v>
      </c>
      <c r="N114" s="6" t="s">
        <v>976</v>
      </c>
      <c r="O114" s="6" t="s">
        <v>65</v>
      </c>
      <c r="P114" s="6" t="s">
        <v>977</v>
      </c>
      <c r="Q114" s="6" t="s">
        <v>970</v>
      </c>
      <c r="R114" s="6" t="s">
        <v>66</v>
      </c>
      <c r="S114" s="6" t="s">
        <v>960</v>
      </c>
      <c r="T114" s="6" t="s">
        <v>68</v>
      </c>
      <c r="U114" s="6" t="s">
        <v>65</v>
      </c>
      <c r="V114" s="6" t="s">
        <v>65</v>
      </c>
      <c r="W114" s="6" t="s">
        <v>70</v>
      </c>
      <c r="X114" s="7"/>
      <c r="Y114" s="6" t="s">
        <v>65</v>
      </c>
      <c r="Z114" s="6" t="s">
        <v>65</v>
      </c>
      <c r="AA114" s="6" t="s">
        <v>65</v>
      </c>
      <c r="AB114" s="8">
        <v>0</v>
      </c>
      <c r="AC114" s="7"/>
      <c r="AD114" s="7"/>
      <c r="AE114" s="7"/>
      <c r="AF114" s="7"/>
      <c r="AG114" s="6" t="s">
        <v>72</v>
      </c>
      <c r="AH114" s="6" t="s">
        <v>73</v>
      </c>
      <c r="AI114" s="6" t="s">
        <v>65</v>
      </c>
      <c r="AJ114" s="7"/>
      <c r="AK114" s="6" t="s">
        <v>65</v>
      </c>
      <c r="AL114" s="6" t="s">
        <v>65</v>
      </c>
      <c r="AM114" s="6" t="s">
        <v>65</v>
      </c>
      <c r="AN114" s="9">
        <v>0</v>
      </c>
      <c r="AO114" s="9">
        <v>0</v>
      </c>
      <c r="AP114" s="6" t="s">
        <v>971</v>
      </c>
      <c r="AQ114" s="8">
        <v>190000</v>
      </c>
      <c r="AR114" s="7">
        <v>45785</v>
      </c>
      <c r="AS114" s="6" t="s">
        <v>65</v>
      </c>
      <c r="AT114" s="6" t="s">
        <v>65</v>
      </c>
      <c r="AU114" s="6" t="s">
        <v>65</v>
      </c>
    </row>
    <row r="115" spans="1:47">
      <c r="A115" t="str">
        <f t="shared" si="1"/>
        <v>KLV-007</v>
      </c>
      <c r="B115" s="5" t="s">
        <v>52</v>
      </c>
      <c r="C115" s="6" t="s">
        <v>53</v>
      </c>
      <c r="D115" s="7">
        <v>46134</v>
      </c>
      <c r="E115" s="7">
        <v>2958465</v>
      </c>
      <c r="F115" s="6" t="s">
        <v>978</v>
      </c>
      <c r="G115" s="6" t="s">
        <v>55</v>
      </c>
      <c r="H115" s="6" t="s">
        <v>56</v>
      </c>
      <c r="I115" s="6" t="s">
        <v>57</v>
      </c>
      <c r="J115" s="6" t="s">
        <v>58</v>
      </c>
      <c r="K115" s="6" t="s">
        <v>957</v>
      </c>
      <c r="L115" s="6" t="s">
        <v>979</v>
      </c>
      <c r="M115" s="6" t="s">
        <v>975</v>
      </c>
      <c r="N115" s="6" t="s">
        <v>976</v>
      </c>
      <c r="O115" s="6" t="s">
        <v>65</v>
      </c>
      <c r="P115" s="6" t="s">
        <v>977</v>
      </c>
      <c r="Q115" s="6" t="s">
        <v>970</v>
      </c>
      <c r="R115" s="6" t="s">
        <v>66</v>
      </c>
      <c r="S115" s="6" t="s">
        <v>960</v>
      </c>
      <c r="T115" s="6" t="s">
        <v>68</v>
      </c>
      <c r="U115" s="6" t="s">
        <v>65</v>
      </c>
      <c r="V115" s="6" t="s">
        <v>65</v>
      </c>
      <c r="W115" s="6" t="s">
        <v>70</v>
      </c>
      <c r="X115" s="7"/>
      <c r="Y115" s="6" t="s">
        <v>65</v>
      </c>
      <c r="Z115" s="6" t="s">
        <v>65</v>
      </c>
      <c r="AA115" s="6" t="s">
        <v>65</v>
      </c>
      <c r="AB115" s="8">
        <v>0</v>
      </c>
      <c r="AC115" s="7"/>
      <c r="AD115" s="7"/>
      <c r="AE115" s="7"/>
      <c r="AF115" s="7"/>
      <c r="AG115" s="6" t="s">
        <v>72</v>
      </c>
      <c r="AH115" s="6" t="s">
        <v>73</v>
      </c>
      <c r="AI115" s="6" t="s">
        <v>65</v>
      </c>
      <c r="AJ115" s="7"/>
      <c r="AK115" s="6" t="s">
        <v>65</v>
      </c>
      <c r="AL115" s="6" t="s">
        <v>65</v>
      </c>
      <c r="AM115" s="6" t="s">
        <v>65</v>
      </c>
      <c r="AN115" s="9">
        <v>0</v>
      </c>
      <c r="AO115" s="9">
        <v>0</v>
      </c>
      <c r="AP115" s="6" t="s">
        <v>971</v>
      </c>
      <c r="AQ115" s="8">
        <v>190000</v>
      </c>
      <c r="AR115" s="7"/>
      <c r="AS115" s="6" t="s">
        <v>65</v>
      </c>
      <c r="AT115" s="6" t="s">
        <v>65</v>
      </c>
      <c r="AU115" s="6" t="s">
        <v>65</v>
      </c>
    </row>
    <row r="116" spans="1:47">
      <c r="A116" t="str">
        <f t="shared" si="1"/>
        <v>TRE-001</v>
      </c>
      <c r="B116" s="5" t="s">
        <v>52</v>
      </c>
      <c r="C116" s="6" t="s">
        <v>53</v>
      </c>
      <c r="D116" s="7">
        <v>46256</v>
      </c>
      <c r="E116" s="7">
        <v>2958465</v>
      </c>
      <c r="F116" s="6" t="s">
        <v>980</v>
      </c>
      <c r="G116" s="6" t="s">
        <v>55</v>
      </c>
      <c r="H116" s="6" t="s">
        <v>56</v>
      </c>
      <c r="I116" s="6" t="s">
        <v>57</v>
      </c>
      <c r="J116" s="6" t="s">
        <v>58</v>
      </c>
      <c r="K116" s="6" t="s">
        <v>957</v>
      </c>
      <c r="L116" s="6" t="s">
        <v>981</v>
      </c>
      <c r="M116" s="6" t="s">
        <v>982</v>
      </c>
      <c r="N116" s="6" t="s">
        <v>983</v>
      </c>
      <c r="O116" s="6" t="s">
        <v>65</v>
      </c>
      <c r="P116" s="6" t="s">
        <v>984</v>
      </c>
      <c r="Q116" s="6" t="s">
        <v>110</v>
      </c>
      <c r="R116" s="6" t="s">
        <v>66</v>
      </c>
      <c r="S116" s="6" t="s">
        <v>985</v>
      </c>
      <c r="T116" s="6" t="s">
        <v>68</v>
      </c>
      <c r="U116" s="6" t="s">
        <v>65</v>
      </c>
      <c r="V116" s="6" t="s">
        <v>65</v>
      </c>
      <c r="W116" s="6" t="s">
        <v>70</v>
      </c>
      <c r="X116" s="7"/>
      <c r="Y116" s="6" t="s">
        <v>65</v>
      </c>
      <c r="Z116" s="6" t="s">
        <v>65</v>
      </c>
      <c r="AA116" s="6" t="s">
        <v>65</v>
      </c>
      <c r="AB116" s="8">
        <v>0</v>
      </c>
      <c r="AC116" s="7"/>
      <c r="AD116" s="7"/>
      <c r="AE116" s="7"/>
      <c r="AF116" s="7"/>
      <c r="AG116" s="6" t="s">
        <v>72</v>
      </c>
      <c r="AH116" s="6" t="s">
        <v>73</v>
      </c>
      <c r="AI116" s="6" t="s">
        <v>65</v>
      </c>
      <c r="AJ116" s="7"/>
      <c r="AK116" s="6" t="s">
        <v>65</v>
      </c>
      <c r="AL116" s="6" t="s">
        <v>65</v>
      </c>
      <c r="AM116" s="6" t="s">
        <v>65</v>
      </c>
      <c r="AN116" s="9">
        <v>0</v>
      </c>
      <c r="AO116" s="9">
        <v>0</v>
      </c>
      <c r="AP116" s="6" t="s">
        <v>73</v>
      </c>
      <c r="AQ116" s="8">
        <v>0</v>
      </c>
      <c r="AR116" s="7"/>
      <c r="AS116" s="6" t="s">
        <v>65</v>
      </c>
      <c r="AT116" s="6" t="s">
        <v>65</v>
      </c>
      <c r="AU116" s="6" t="s">
        <v>986</v>
      </c>
    </row>
  </sheetData>
  <autoFilter ref="B2:AU113" xr:uid="{65F96131-9E24-47FF-904A-DEAABDEBDC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2026-09-07T12:41:04Z</dcterms:modified>
</cp:coreProperties>
</file>